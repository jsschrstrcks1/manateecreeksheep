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worksheets/sheet15.xml" ContentType="application/vnd.openxmlformats-officedocument.spreadsheetml.worksheet+xml"/>
  <Override PartName="/xl/tables/table2.xml" ContentType="application/vnd.openxmlformats-officedocument.spreadsheetml.table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8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ING_PLAN_SAFE" sheetId="1" state="visible" r:id="rId1"/>
    <sheet xmlns:r="http://schemas.openxmlformats.org/officeDocument/2006/relationships" name="RAM_ASSIGNMENT_SAFE" sheetId="2" state="visible" r:id="rId2"/>
    <sheet xmlns:r="http://schemas.openxmlformats.org/officeDocument/2006/relationships" name="RULES_ENFORCED" sheetId="3" state="visible" r:id="rId3"/>
    <sheet xmlns:r="http://schemas.openxmlformats.org/officeDocument/2006/relationships" name="RAM_ELIGIBILITY" sheetId="4" state="visible" r:id="rId4"/>
    <sheet xmlns:r="http://schemas.openxmlformats.org/officeDocument/2006/relationships" name="MATING_PLAN" sheetId="5" state="visible" r:id="rId5"/>
    <sheet xmlns:r="http://schemas.openxmlformats.org/officeDocument/2006/relationships" name="RAM_ASSIGNMENT" sheetId="6" state="visible" r:id="rId6"/>
    <sheet xmlns:r="http://schemas.openxmlformats.org/officeDocument/2006/relationships" name="COSTS_RAW_2022_2026" sheetId="7" state="visible" r:id="rId7"/>
    <sheet xmlns:r="http://schemas.openxmlformats.org/officeDocument/2006/relationships" name="WEIGHTS_30D_RAW_2022" sheetId="8" state="visible" r:id="rId8"/>
    <sheet xmlns:r="http://schemas.openxmlformats.org/officeDocument/2006/relationships" name="IMPORT_LOG_2026_01_07_V3" sheetId="9" state="visible" r:id="rId9"/>
    <sheet xmlns:r="http://schemas.openxmlformats.org/officeDocument/2006/relationships" name="IMPORT_LOG_2026_01_07_V2" sheetId="10" state="visible" r:id="rId10"/>
    <sheet xmlns:r="http://schemas.openxmlformats.org/officeDocument/2006/relationships" name="START_HERE" sheetId="11" state="visible" r:id="rId11"/>
    <sheet xmlns:r="http://schemas.openxmlformats.org/officeDocument/2006/relationships" name="IMPORT_LOG" sheetId="12" state="visible" r:id="rId12"/>
    <sheet xmlns:r="http://schemas.openxmlformats.org/officeDocument/2006/relationships" name="LIVING_ROSTER" sheetId="13" state="visible" r:id="rId13"/>
    <sheet xmlns:r="http://schemas.openxmlformats.org/officeDocument/2006/relationships" name="ANIMALS" sheetId="14" state="visible" r:id="rId14"/>
    <sheet xmlns:r="http://schemas.openxmlformats.org/officeDocument/2006/relationships" name="BREED_SUPERSET" sheetId="15" state="visible" r:id="rId15"/>
    <sheet xmlns:r="http://schemas.openxmlformats.org/officeDocument/2006/relationships" name="BREED_MIX" sheetId="16" state="visible" r:id="rId16"/>
    <sheet xmlns:r="http://schemas.openxmlformats.org/officeDocument/2006/relationships" name="PERFORMANCE" sheetId="17" state="visible" r:id="rId17"/>
    <sheet xmlns:r="http://schemas.openxmlformats.org/officeDocument/2006/relationships" name="MEDICAL" sheetId="18" state="visible" r:id="rId18"/>
    <sheet xmlns:r="http://schemas.openxmlformats.org/officeDocument/2006/relationships" name="REPRODUCTION" sheetId="19" state="visible" r:id="rId19"/>
    <sheet xmlns:r="http://schemas.openxmlformats.org/officeDocument/2006/relationships" name="INDEX" sheetId="20" state="visible" r:id="rId20"/>
    <sheet xmlns:r="http://schemas.openxmlformats.org/officeDocument/2006/relationships" name="CONFLICTS" sheetId="21" state="visible" r:id="rId21"/>
    <sheet xmlns:r="http://schemas.openxmlformats.org/officeDocument/2006/relationships" name="RELATIONSHIPS" sheetId="22" state="visible" r:id="rId22"/>
    <sheet xmlns:r="http://schemas.openxmlformats.org/officeDocument/2006/relationships" name="WEIGHTS_&amp;_RULES" sheetId="23" state="visible" r:id="rId23"/>
    <sheet xmlns:r="http://schemas.openxmlformats.org/officeDocument/2006/relationships" name="PEN_STATS" sheetId="24" state="visible" r:id="rId24"/>
    <sheet xmlns:r="http://schemas.openxmlformats.org/officeDocument/2006/relationships" name="DATA_GAPS" sheetId="25" state="visible" r:id="rId25"/>
    <sheet xmlns:r="http://schemas.openxmlformats.org/officeDocument/2006/relationships" name="MATING_RULES" sheetId="26" state="visible" r:id="rId26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1F4E79"/>
    </font>
    <font>
      <b val="1"/>
      <color rgb="00FFFFFF"/>
    </font>
    <font>
      <color rgb="001F4E79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0B2F4A"/>
      </patternFill>
    </fill>
    <fill>
      <patternFill patternType="solid">
        <fgColor rgb="002F559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" fontId="5" fillId="0" borderId="1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7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4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7" fontId="3" fillId="0" borderId="0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wrapText="1"/>
    </xf>
    <xf numFmtId="0" fontId="4" fillId="4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00FFF2CC"/>
        </patternFill>
      </fill>
    </dxf>
    <dxf>
      <fill>
        <patternFill>
          <bgColor rgb="00F8CBAD"/>
        </patternFill>
      </fill>
    </dxf>
    <dxf>
      <fill>
        <patternFill>
          <bgColor rgb="00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tblAnimals" displayName="tblAnimals" ref="A1:T61" headerRowCount="1">
  <autoFilter ref="A1:T61"/>
  <tableColumns count="20">
    <tableColumn id="1" name="AnimalID*"/>
    <tableColumn id="2" name="Display Name"/>
    <tableColumn id="3" name="Tag #"/>
    <tableColumn id="4" name="Sex (E/R/W)"/>
    <tableColumn id="5" name="DOB"/>
    <tableColumn id="6" name="BirthYear"/>
    <tableColumn id="7" name="AgeClass"/>
    <tableColumn id="8" name="Pen/Group"/>
    <tableColumn id="9" name="Status"/>
    <tableColumn id="10" name="SireID"/>
    <tableColumn id="11" name="DamID"/>
    <tableColumn id="12" name="Received From"/>
    <tableColumn id="13" name="Date Acquired"/>
    <tableColumn id="14" name="Date Removed"/>
    <tableColumn id="15" name="% Hair (calc)"/>
    <tableColumn id="16" name="Expected wt (EWE, lb) (calc)"/>
    <tableColumn id="17" name="Expected wt (RAM, lb) (calc)"/>
    <tableColumn id="18" name="Primary Breed (calc)"/>
    <tableColumn id="19" name="Pedigree completeness (calc)"/>
    <tableColumn id="20" name="Notes"/>
  </tableColumns>
  <tableStyleInfo name="TableStyleMedium9" showRowStripes="1"/>
</table>
</file>

<file path=xl/tables/table2.xml><?xml version="1.0" encoding="utf-8"?>
<table xmlns="http://schemas.openxmlformats.org/spreadsheetml/2006/main" id="2" name="tblBreedSuperset" displayName="tblBreedSuperset" ref="A1:E27" headerRowCount="1">
  <autoFilter ref="A1:E27"/>
  <tableColumns count="5">
    <tableColumn id="1" name="Breed (superset)"/>
    <tableColumn id="2" name="Avg mature wt (EWE, lb)"/>
    <tableColumn id="3" name="Avg mature wt (RAM, lb)"/>
    <tableColumn id="4" name="Hair breed? (Y/N)"/>
    <tableColumn id="5" name="Notes"/>
  </tableColumns>
  <tableStyleInfo name="TableStyleMedium9" showRowStripes="1"/>
</table>
</file>

<file path=xl/tables/table3.xml><?xml version="1.0" encoding="utf-8"?>
<table xmlns="http://schemas.openxmlformats.org/spreadsheetml/2006/main" id="3" name="tblBreedMix" displayName="tblBreedMix" ref="A1:AB61" headerRowCount="1">
  <autoFilter ref="A1:AB61"/>
  <tableColumns count="28">
    <tableColumn id="1" name="AnimalID*"/>
    <tableColumn id="2" name="% Hair (optional)"/>
    <tableColumn id="3" name="% American Black Belly"/>
    <tableColumn id="4" name="% Awassi"/>
    <tableColumn id="5" name="% Babydoll"/>
    <tableColumn id="6" name="% Barbados Black Belly"/>
    <tableColumn id="7" name="% Black Headed Dorper"/>
    <tableColumn id="8" name="% Cotswald"/>
    <tableColumn id="9" name="% Cracker"/>
    <tableColumn id="10" name="% East Friesan"/>
    <tableColumn id="11" name="% Gulf Coast Native"/>
    <tableColumn id="12" name="% Hampshire"/>
    <tableColumn id="13" name="% Jacob"/>
    <tableColumn id="14" name="% Karakul"/>
    <tableColumn id="15" name="% Katahdin"/>
    <tableColumn id="16" name="% Southdown"/>
    <tableColumn id="17" name="% St Augustine"/>
    <tableColumn id="18" name="% St Croix"/>
    <tableColumn id="19" name="% Suffolk"/>
    <tableColumn id="20" name="% Texel"/>
    <tableColumn id="21" name="% Tunis"/>
    <tableColumn id="22" name="% White Dorper"/>
    <tableColumn id="23" name="% Wiltshire Horn"/>
    <tableColumn id="24" name="Sum %"/>
    <tableColumn id="25" name="Expected mature wt (EWE, lb)"/>
    <tableColumn id="26" name="Expected mature wt (RAM, lb)"/>
    <tableColumn id="27" name="Primary Breed"/>
    <tableColumn id="28" name="Notes"/>
  </tableColumns>
  <tableStyleInfo name="TableStyleMedium9" showRowStripes="1"/>
</table>
</file>

<file path=xl/tables/table4.xml><?xml version="1.0" encoding="utf-8"?>
<table xmlns="http://schemas.openxmlformats.org/spreadsheetml/2006/main" id="4" name="tblPerformance" displayName="tblPerformance" ref="A1:H201" headerRowCount="1">
  <autoFilter ref="A1:H201"/>
  <tableColumns count="8">
    <tableColumn id="1" name="Date*"/>
    <tableColumn id="2" name="Year (calc)"/>
    <tableColumn id="3" name="AnimalID*"/>
    <tableColumn id="4" name="Pen (calc)"/>
    <tableColumn id="5" name="Metric*"/>
    <tableColumn id="6" name="Value"/>
    <tableColumn id="7" name="Units"/>
    <tableColumn id="8" name="Notes"/>
  </tableColumns>
  <tableStyleInfo name="TableStyleMedium9" showRowStripes="1"/>
</table>
</file>

<file path=xl/tables/table5.xml><?xml version="1.0" encoding="utf-8"?>
<table xmlns="http://schemas.openxmlformats.org/spreadsheetml/2006/main" id="5" name="tblMedical" displayName="tblMedical" ref="A1:G151" headerRowCount="1">
  <autoFilter ref="A1:G151"/>
  <tableColumns count="7">
    <tableColumn id="1" name="Date*"/>
    <tableColumn id="2" name="Year (calc)"/>
    <tableColumn id="3" name="AnimalID*"/>
    <tableColumn id="4" name="Pen (calc)"/>
    <tableColumn id="5" name="Event Type*"/>
    <tableColumn id="6" name="Severity (1-5)"/>
    <tableColumn id="7" name="Description"/>
  </tableColumns>
  <tableStyleInfo name="TableStyleMedium9" showRowStripes="1"/>
</table>
</file>

<file path=xl/tables/table6.xml><?xml version="1.0" encoding="utf-8"?>
<table xmlns="http://schemas.openxmlformats.org/spreadsheetml/2006/main" id="6" name="tblRepro" displayName="tblRepro" ref="A1:F101" headerRowCount="1">
  <autoFilter ref="A1:F101"/>
  <tableColumns count="6">
    <tableColumn id="1" name="Year*"/>
    <tableColumn id="2" name="EweID*"/>
    <tableColumn id="3" name="Lambs Born"/>
    <tableColumn id="4" name="Lambs Weaned"/>
    <tableColumn id="5" name="Lamb survival % (calc)"/>
    <tableColumn id="6" name="Notes"/>
  </tableColumns>
  <tableStyleInfo name="TableStyleMedium9" showRowStripes="1"/>
</table>
</file>

<file path=xl/tables/table7.xml><?xml version="1.0" encoding="utf-8"?>
<table xmlns="http://schemas.openxmlformats.org/spreadsheetml/2006/main" id="7" name="tblIndex" displayName="tblIndex" ref="A5:AB65" headerRowCount="1">
  <autoFilter ref="A5:AB65"/>
  <tableColumns count="28">
    <tableColumn id="1" name="AnimalID"/>
    <tableColumn id="2" name="Name"/>
    <tableColumn id="3" name="Sex"/>
    <tableColumn id="4" name="AgeClass"/>
    <tableColumn id="5" name="Pen"/>
    <tableColumn id="6" name="Status"/>
    <tableColumn id="7" name="%Hair"/>
    <tableColumn id="8" name="Exp EweWt"/>
    <tableColumn id="9" name="Exp RamWt"/>
    <tableColumn id="10" name="PrimaryBreed"/>
    <tableColumn id="11" name="FAMACHA avg"/>
    <tableColumn id="12" name="FEC avg"/>
    <tableColumn id="13" name="Deworm count"/>
    <tableColumn id="14" name="Lamb survival %"/>
    <tableColumn id="15" name="Wean/90d wt"/>
    <tableColumn id="16" name="ADG"/>
    <tableColumn id="17" name="Shedding score"/>
    <tableColumn id="18" name="z(FAMACHA)"/>
    <tableColumn id="19" name="z(FEC)"/>
    <tableColumn id="20" name="z(Deworm)"/>
    <tableColumn id="21" name="z(Survival)"/>
    <tableColumn id="22" name="z(WeanWt)"/>
    <tableColumn id="23" name="z(ADG)"/>
    <tableColumn id="24" name="z(Shedding)"/>
    <tableColumn id="25" name="Hardiness (H)"/>
    <tableColumn id="26" name="Meat (M)"/>
    <tableColumn id="27" name="Hair (Hair)"/>
    <tableColumn id="28" name="Total Index"/>
  </tableColumns>
  <tableStyleInfo name="TableStyleMedium9" showRowStripes="1"/>
</table>
</file>

<file path=xl/tables/table8.xml><?xml version="1.0" encoding="utf-8"?>
<table xmlns="http://schemas.openxmlformats.org/spreadsheetml/2006/main" id="8" name="tblRelationships" displayName="tblRelationships" ref="A1:E201" headerRowCount="1">
  <autoFilter ref="A1:E201"/>
  <tableColumns count="5">
    <tableColumn id="1" name="Key (Ram|Ewe) (calc)"/>
    <tableColumn id="2" name="RamID*"/>
    <tableColumn id="3" name="EweID*"/>
    <tableColumn id="4" name="a_sd (relationship)"/>
    <tableColumn id="5" name="F_offspring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0" customWidth="1" min="5" max="5"/>
    <col width="22" customWidth="1" min="6" max="6"/>
    <col width="10" customWidth="1" min="7" max="7"/>
    <col width="12" customWidth="1" min="8" max="8"/>
    <col width="16" customWidth="1" min="9" max="9"/>
    <col width="10" customWidth="1" min="10" max="10"/>
    <col width="10" customWidth="1" min="11" max="11"/>
    <col width="8" customWidth="1" min="12" max="12"/>
    <col width="26" customWidth="1" min="13" max="13"/>
    <col width="18" customWidth="1" min="14" max="14"/>
    <col width="28" customWidth="1" min="15" max="15"/>
  </cols>
  <sheetData>
    <row r="1">
      <c r="A1" s="4" t="inlineStr">
        <is>
          <t>Note</t>
        </is>
      </c>
    </row>
    <row r="2">
      <c r="A2" s="35" t="inlineStr">
        <is>
          <t>No MATING_PLAN found to filter; safe plan not generated.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26" customWidth="1" min="5" max="5"/>
    <col width="10" customWidth="1" min="6" max="6"/>
    <col width="18" customWidth="1" min="7" max="7"/>
  </cols>
  <sheetData>
    <row r="1">
      <c r="A1" s="4" t="inlineStr">
        <is>
          <t>RamID</t>
        </is>
      </c>
      <c r="B1" s="4" t="inlineStr">
        <is>
          <t>RamName</t>
        </is>
      </c>
      <c r="C1" s="4" t="inlineStr">
        <is>
          <t>RamTag</t>
        </is>
      </c>
      <c r="D1" s="4" t="inlineStr">
        <is>
          <t>RamPen</t>
        </is>
      </c>
      <c r="E1" s="4" t="inlineStr">
        <is>
          <t>AssignedEwes(top choice)</t>
        </is>
      </c>
      <c r="F1" s="4" t="inlineStr">
        <is>
          <t>Eligible</t>
        </is>
      </c>
      <c r="G1" s="4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8" customWidth="1" min="2" max="2"/>
    <col width="10" customWidth="1" min="3" max="3"/>
    <col width="44" customWidth="1" min="4" max="4"/>
  </cols>
  <sheetData>
    <row r="1">
      <c r="A1" s="4" t="inlineStr">
        <is>
          <t>RuleID</t>
        </is>
      </c>
      <c r="B1" s="4" t="inlineStr">
        <is>
          <t>Rule</t>
        </is>
      </c>
      <c r="C1" s="4" t="inlineStr">
        <is>
          <t>Status</t>
        </is>
      </c>
      <c r="D1" s="4" t="inlineStr">
        <is>
          <t>Rationale</t>
        </is>
      </c>
    </row>
    <row r="2">
      <c r="A2" s="35" t="inlineStr">
        <is>
          <t>R1</t>
        </is>
      </c>
      <c r="B2" s="35" t="inlineStr">
        <is>
          <t>Exclude placeholder/unknown 'twin rams' from recommendations</t>
        </is>
      </c>
      <c r="C2" s="35" t="inlineStr">
        <is>
          <t>ON</t>
        </is>
      </c>
      <c r="D2" s="35" t="inlineStr">
        <is>
          <t>They are clutter/noise and may be lambs or untracked.</t>
        </is>
      </c>
    </row>
    <row r="3">
      <c r="A3" s="35" t="inlineStr">
        <is>
          <t>R2</t>
        </is>
      </c>
      <c r="B3" s="35" t="inlineStr">
        <is>
          <t>Only recommend adult rams (&gt;=9 months) with known DOB</t>
        </is>
      </c>
      <c r="C3" s="35" t="inlineStr">
        <is>
          <t>ON</t>
        </is>
      </c>
      <c r="D3" s="35" t="inlineStr">
        <is>
          <t>Prevents recommending ram lambs / unknown age sires.</t>
        </is>
      </c>
    </row>
    <row r="4">
      <c r="A4" s="35" t="inlineStr">
        <is>
          <t>R3</t>
        </is>
      </c>
      <c r="B4" s="35" t="inlineStr">
        <is>
          <t>Geriatric safety: If ewe age &gt;= 6 years, exclude Ram 00110 (Orange Tag)</t>
        </is>
      </c>
      <c r="C4" s="35" t="inlineStr">
        <is>
          <t>ON</t>
        </is>
      </c>
      <c r="D4" s="35" t="inlineStr">
        <is>
          <t>Reduce dystocia risk from large terminal sire on older ewes.</t>
        </is>
      </c>
    </row>
    <row r="5">
      <c r="A5" s="35" t="inlineStr">
        <is>
          <t>R4</t>
        </is>
      </c>
      <c r="B5" s="35" t="inlineStr">
        <is>
          <t>Only recommend rams marked 'Eligible'</t>
        </is>
      </c>
      <c r="C5" s="35" t="inlineStr">
        <is>
          <t>ON</t>
        </is>
      </c>
      <c r="D5" s="35" t="inlineStr">
        <is>
          <t>Central toggle for future terminal/maternal/health exclusions.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26" customWidth="1" min="10" max="10"/>
  </cols>
  <sheetData>
    <row r="1">
      <c r="A1" s="4" t="inlineStr">
        <is>
          <t>RamID</t>
        </is>
      </c>
      <c r="B1" s="4" t="inlineStr">
        <is>
          <t>Name</t>
        </is>
      </c>
      <c r="C1" s="4" t="inlineStr">
        <is>
          <t>Tag</t>
        </is>
      </c>
      <c r="D1" s="4" t="inlineStr">
        <is>
          <t>Pen</t>
        </is>
      </c>
      <c r="E1" s="4" t="inlineStr">
        <is>
          <t>AgeYears</t>
        </is>
      </c>
      <c r="F1" s="4" t="inlineStr">
        <is>
          <t>DOBKnown</t>
        </is>
      </c>
      <c r="G1" s="4" t="inlineStr">
        <is>
          <t>IsAdult(&gt;=9mo)</t>
        </is>
      </c>
      <c r="H1" s="4" t="inlineStr">
        <is>
          <t>IsPlaceholder</t>
        </is>
      </c>
      <c r="I1" s="4" t="inlineStr">
        <is>
          <t>Eligible</t>
        </is>
      </c>
      <c r="J1" s="4" t="inlineStr">
        <is>
          <t>Reason</t>
        </is>
      </c>
    </row>
    <row r="2">
      <c r="A2" s="35" t="inlineStr">
        <is>
          <t>TAG_00110</t>
        </is>
      </c>
      <c r="B2" s="35" t="inlineStr">
        <is>
          <t>00110</t>
        </is>
      </c>
      <c r="C2" s="35" t="inlineStr">
        <is>
          <t>00110</t>
        </is>
      </c>
      <c r="D2" s="35" t="inlineStr">
        <is>
          <t>Pen 1</t>
        </is>
      </c>
      <c r="E2" s="35" t="n"/>
      <c r="F2" s="35" t="b">
        <v>0</v>
      </c>
      <c r="G2" s="35" t="b">
        <v>0</v>
      </c>
      <c r="H2" s="35" t="b">
        <v>0</v>
      </c>
      <c r="I2" s="35" t="b">
        <v>0</v>
      </c>
      <c r="J2" s="35" t="inlineStr">
        <is>
          <t>DOB missing, Not adult</t>
        </is>
      </c>
    </row>
    <row r="3">
      <c r="A3" s="35" t="inlineStr">
        <is>
          <t>P1_TWIN_RAM_BROWNWHITE</t>
        </is>
      </c>
      <c r="B3" s="35" t="inlineStr">
        <is>
          <t>Twin ram (brown &amp; white)</t>
        </is>
      </c>
      <c r="C3" s="35" t="n"/>
      <c r="D3" s="35" t="inlineStr">
        <is>
          <t>Pen 1</t>
        </is>
      </c>
      <c r="E3" s="35" t="n"/>
      <c r="F3" s="35" t="b">
        <v>0</v>
      </c>
      <c r="G3" s="35" t="b">
        <v>0</v>
      </c>
      <c r="H3" s="35" t="b">
        <v>1</v>
      </c>
      <c r="I3" s="35" t="b">
        <v>0</v>
      </c>
      <c r="J3" s="35" t="inlineStr">
        <is>
          <t>DOB missing, Not adult, Placeholder/twin</t>
        </is>
      </c>
    </row>
    <row r="4">
      <c r="A4" s="35" t="inlineStr">
        <is>
          <t>P1_TWIN_RAM_BLACKWHITE</t>
        </is>
      </c>
      <c r="B4" s="35" t="inlineStr">
        <is>
          <t>Twin ram (black &amp; white)</t>
        </is>
      </c>
      <c r="C4" s="35" t="n"/>
      <c r="D4" s="35" t="inlineStr">
        <is>
          <t>Pen 1</t>
        </is>
      </c>
      <c r="E4" s="35" t="n"/>
      <c r="F4" s="35" t="b">
        <v>0</v>
      </c>
      <c r="G4" s="35" t="b">
        <v>0</v>
      </c>
      <c r="H4" s="35" t="b">
        <v>1</v>
      </c>
      <c r="I4" s="35" t="b">
        <v>0</v>
      </c>
      <c r="J4" s="35" t="inlineStr">
        <is>
          <t>DOB missing, Not adult, Placeholder/twin</t>
        </is>
      </c>
    </row>
    <row r="5">
      <c r="A5" s="35" t="inlineStr">
        <is>
          <t>P1_RAM_LAMB_BROWNWHITE_01</t>
        </is>
      </c>
      <c r="B5" s="35" t="inlineStr">
        <is>
          <t>Ram lamb (brown &amp; white)</t>
        </is>
      </c>
      <c r="C5" s="35" t="n"/>
      <c r="D5" s="35" t="inlineStr">
        <is>
          <t>Pen 1</t>
        </is>
      </c>
      <c r="E5" s="35" t="n"/>
      <c r="F5" s="35" t="b">
        <v>0</v>
      </c>
      <c r="G5" s="35" t="b">
        <v>0</v>
      </c>
      <c r="H5" s="35" t="b">
        <v>1</v>
      </c>
      <c r="I5" s="35" t="b">
        <v>0</v>
      </c>
      <c r="J5" s="35" t="inlineStr">
        <is>
          <t>DOB missing, Not adult, Placeholder/twin</t>
        </is>
      </c>
    </row>
    <row r="6">
      <c r="A6" s="35" t="inlineStr">
        <is>
          <t>JERK_FACE</t>
        </is>
      </c>
      <c r="B6" s="35" t="inlineStr">
        <is>
          <t>Jerk Face</t>
        </is>
      </c>
      <c r="C6" s="35" t="n"/>
      <c r="D6" s="35" t="inlineStr">
        <is>
          <t>Pen 2</t>
        </is>
      </c>
      <c r="E6" s="35" t="n"/>
      <c r="F6" s="35" t="b">
        <v>0</v>
      </c>
      <c r="G6" s="35" t="b">
        <v>0</v>
      </c>
      <c r="H6" s="35" t="b">
        <v>0</v>
      </c>
      <c r="I6" s="35" t="b">
        <v>0</v>
      </c>
      <c r="J6" s="35" t="inlineStr">
        <is>
          <t>DOB missing, Not adult</t>
        </is>
      </c>
    </row>
    <row r="7">
      <c r="A7" s="35" t="inlineStr">
        <is>
          <t>MERRIE</t>
        </is>
      </c>
      <c r="B7" s="35" t="inlineStr">
        <is>
          <t>Merrie</t>
        </is>
      </c>
      <c r="C7" s="35" t="inlineStr">
        <is>
          <t>00016</t>
        </is>
      </c>
      <c r="D7" s="35" t="inlineStr">
        <is>
          <t>Pen 3</t>
        </is>
      </c>
      <c r="E7" s="35" t="n"/>
      <c r="F7" s="35" t="b">
        <v>0</v>
      </c>
      <c r="G7" s="35" t="b">
        <v>0</v>
      </c>
      <c r="H7" s="35" t="b">
        <v>0</v>
      </c>
      <c r="I7" s="35" t="b">
        <v>0</v>
      </c>
      <c r="J7" s="35" t="inlineStr">
        <is>
          <t>DOB missing, Not adult</t>
        </is>
      </c>
    </row>
    <row r="8">
      <c r="A8" s="35" t="inlineStr">
        <is>
          <t>CHARLIE</t>
        </is>
      </c>
      <c r="B8" s="35" t="inlineStr">
        <is>
          <t>Charlie</t>
        </is>
      </c>
      <c r="C8" s="35" t="n"/>
      <c r="D8" s="35" t="inlineStr">
        <is>
          <t>Pen 3</t>
        </is>
      </c>
      <c r="E8" s="35" t="n"/>
      <c r="F8" s="35" t="b">
        <v>0</v>
      </c>
      <c r="G8" s="35" t="b">
        <v>0</v>
      </c>
      <c r="H8" s="35" t="b">
        <v>0</v>
      </c>
      <c r="I8" s="35" t="b">
        <v>0</v>
      </c>
      <c r="J8" s="35" t="inlineStr">
        <is>
          <t>DOB missing, Not adult</t>
        </is>
      </c>
    </row>
    <row r="9">
      <c r="A9" s="35" t="inlineStr">
        <is>
          <t>P4_RAM_LAMB_WHITE_01</t>
        </is>
      </c>
      <c r="B9" s="35" t="inlineStr">
        <is>
          <t>Ram lamb (white)</t>
        </is>
      </c>
      <c r="C9" s="35" t="n"/>
      <c r="D9" s="35" t="inlineStr">
        <is>
          <t>Pen 4</t>
        </is>
      </c>
      <c r="E9" s="35" t="n"/>
      <c r="F9" s="35" t="b">
        <v>0</v>
      </c>
      <c r="G9" s="35" t="b">
        <v>0</v>
      </c>
      <c r="H9" s="35" t="b">
        <v>0</v>
      </c>
      <c r="I9" s="35" t="b">
        <v>0</v>
      </c>
      <c r="J9" s="35" t="inlineStr">
        <is>
          <t>DOB missing, Not adult</t>
        </is>
      </c>
    </row>
    <row r="10">
      <c r="A10" s="35" t="inlineStr">
        <is>
          <t>TAG_0113</t>
        </is>
      </c>
      <c r="B10" s="35" t="inlineStr">
        <is>
          <t>113</t>
        </is>
      </c>
      <c r="C10" s="35" t="inlineStr">
        <is>
          <t>113</t>
        </is>
      </c>
      <c r="D10" s="35" t="inlineStr">
        <is>
          <t>Pen 5</t>
        </is>
      </c>
      <c r="E10" s="35" t="n"/>
      <c r="F10" s="35" t="b">
        <v>0</v>
      </c>
      <c r="G10" s="35" t="b">
        <v>0</v>
      </c>
      <c r="H10" s="35" t="b">
        <v>0</v>
      </c>
      <c r="I10" s="35" t="b">
        <v>0</v>
      </c>
      <c r="J10" s="35" t="inlineStr">
        <is>
          <t>DOB missing, Not adult</t>
        </is>
      </c>
    </row>
    <row r="11">
      <c r="A11" s="35" t="inlineStr">
        <is>
          <t>MC08</t>
        </is>
      </c>
      <c r="B11" s="35" t="inlineStr">
        <is>
          <t>Mc08</t>
        </is>
      </c>
      <c r="C11" s="35" t="inlineStr">
        <is>
          <t>Mc08</t>
        </is>
      </c>
      <c r="D11" s="35" t="inlineStr">
        <is>
          <t>Pen 6</t>
        </is>
      </c>
      <c r="E11" s="35" t="n"/>
      <c r="F11" s="35" t="b">
        <v>0</v>
      </c>
      <c r="G11" s="35" t="b">
        <v>0</v>
      </c>
      <c r="H11" s="35" t="b">
        <v>0</v>
      </c>
      <c r="I11" s="35" t="b">
        <v>0</v>
      </c>
      <c r="J11" s="35" t="inlineStr">
        <is>
          <t>DOB missing, Not adult</t>
        </is>
      </c>
    </row>
    <row r="12">
      <c r="A12" s="35" t="inlineStr">
        <is>
          <t>TAG_0009</t>
        </is>
      </c>
      <c r="B12" s="35" t="inlineStr">
        <is>
          <t>09</t>
        </is>
      </c>
      <c r="C12" s="35" t="inlineStr">
        <is>
          <t>09</t>
        </is>
      </c>
      <c r="D12" s="35" t="inlineStr">
        <is>
          <t>Goose Pen</t>
        </is>
      </c>
      <c r="E12" s="35" t="n"/>
      <c r="F12" s="35" t="b">
        <v>0</v>
      </c>
      <c r="G12" s="35" t="b">
        <v>0</v>
      </c>
      <c r="H12" s="35" t="b">
        <v>0</v>
      </c>
      <c r="I12" s="35" t="b">
        <v>0</v>
      </c>
      <c r="J12" s="35" t="inlineStr">
        <is>
          <t>DOB missing, Not adult</t>
        </is>
      </c>
    </row>
    <row r="13">
      <c r="A13" s="35" t="inlineStr">
        <is>
          <t>TAG_0006</t>
        </is>
      </c>
      <c r="B13" s="35" t="inlineStr">
        <is>
          <t>06</t>
        </is>
      </c>
      <c r="C13" s="35" t="inlineStr">
        <is>
          <t>06</t>
        </is>
      </c>
      <c r="D13" s="35" t="inlineStr">
        <is>
          <t>Goose Pen</t>
        </is>
      </c>
      <c r="E13" s="35" t="n"/>
      <c r="F13" s="35" t="b">
        <v>0</v>
      </c>
      <c r="G13" s="35" t="b">
        <v>0</v>
      </c>
      <c r="H13" s="35" t="b">
        <v>0</v>
      </c>
      <c r="I13" s="35" t="b">
        <v>0</v>
      </c>
      <c r="J13" s="35" t="inlineStr">
        <is>
          <t>DOB missing, Not adult</t>
        </is>
      </c>
    </row>
    <row r="14">
      <c r="A14" s="35" t="inlineStr">
        <is>
          <t>GP_RAM_LAMB_FAWN_01</t>
        </is>
      </c>
      <c r="B14" s="35" t="inlineStr">
        <is>
          <t>Ram lamb (fawn to light tan)</t>
        </is>
      </c>
      <c r="C14" s="35" t="n"/>
      <c r="D14" s="35" t="inlineStr">
        <is>
          <t>Goose Pen</t>
        </is>
      </c>
      <c r="E14" s="35" t="n"/>
      <c r="F14" s="35" t="b">
        <v>0</v>
      </c>
      <c r="G14" s="35" t="b">
        <v>0</v>
      </c>
      <c r="H14" s="35" t="b">
        <v>0</v>
      </c>
      <c r="I14" s="35" t="b">
        <v>0</v>
      </c>
      <c r="J14" s="35" t="inlineStr">
        <is>
          <t>DOB missing, Not adult</t>
        </is>
      </c>
    </row>
    <row r="15">
      <c r="A15" s="35" t="inlineStr">
        <is>
          <t>BUCK_2433</t>
        </is>
      </c>
      <c r="B15" s="35" t="inlineStr">
        <is>
          <t>Buck</t>
        </is>
      </c>
      <c r="C15" s="35" t="inlineStr">
        <is>
          <t>2433</t>
        </is>
      </c>
      <c r="D15" s="35" t="inlineStr">
        <is>
          <t>Tree Fort</t>
        </is>
      </c>
      <c r="E15" s="35" t="n"/>
      <c r="F15" s="35" t="b">
        <v>0</v>
      </c>
      <c r="G15" s="35" t="b">
        <v>0</v>
      </c>
      <c r="H15" s="35" t="b">
        <v>0</v>
      </c>
      <c r="I15" s="35" t="b">
        <v>0</v>
      </c>
      <c r="J15" s="35" t="inlineStr">
        <is>
          <t>DOB missing, Not adult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10" customWidth="1" min="5" max="5"/>
    <col width="22" customWidth="1" min="6" max="6"/>
    <col width="10" customWidth="1" min="7" max="7"/>
    <col width="12" customWidth="1" min="8" max="8"/>
    <col width="16" customWidth="1" min="9" max="9"/>
    <col width="10" customWidth="1" min="10" max="10"/>
    <col width="10" customWidth="1" min="11" max="11"/>
    <col width="8" customWidth="1" min="12" max="12"/>
    <col width="26" customWidth="1" min="13" max="13"/>
    <col width="18" customWidth="1" min="14" max="14"/>
  </cols>
  <sheetData>
    <row r="1">
      <c r="A1" s="4" t="inlineStr">
        <is>
          <t>EwePen</t>
        </is>
      </c>
      <c r="B1" s="4" t="inlineStr">
        <is>
          <t>EweName</t>
        </is>
      </c>
      <c r="C1" s="4" t="inlineStr">
        <is>
          <t>EweTag</t>
        </is>
      </c>
      <c r="D1" s="4" t="inlineStr">
        <is>
          <t>EweID</t>
        </is>
      </c>
      <c r="E1" s="4" t="inlineStr">
        <is>
          <t>ChoiceRank</t>
        </is>
      </c>
      <c r="F1" s="4" t="inlineStr">
        <is>
          <t>RamName</t>
        </is>
      </c>
      <c r="G1" s="4" t="inlineStr">
        <is>
          <t>RamTag</t>
        </is>
      </c>
      <c r="H1" s="4" t="inlineStr">
        <is>
          <t>RamPen</t>
        </is>
      </c>
      <c r="I1" s="4" t="inlineStr">
        <is>
          <t>RamID</t>
        </is>
      </c>
      <c r="J1" s="4" t="inlineStr">
        <is>
          <t>Score</t>
        </is>
      </c>
      <c r="K1" s="4" t="inlineStr">
        <is>
          <t>BaseScore</t>
        </is>
      </c>
      <c r="L1" s="4" t="inlineStr">
        <is>
          <t>Penalty</t>
        </is>
      </c>
      <c r="M1" s="4" t="inlineStr">
        <is>
          <t>ConstraintNote</t>
        </is>
      </c>
      <c r="N1" s="4" t="inlineStr">
        <is>
          <t>MissingRamData</t>
        </is>
      </c>
    </row>
    <row r="2">
      <c r="A2" s="35" t="inlineStr">
        <is>
          <t>Pen 1</t>
        </is>
      </c>
      <c r="B2" s="35" t="inlineStr">
        <is>
          <t>Azure</t>
        </is>
      </c>
      <c r="C2" s="35" t="inlineStr">
        <is>
          <t>20</t>
        </is>
      </c>
      <c r="D2" s="35" t="inlineStr">
        <is>
          <t>AZURE_0020</t>
        </is>
      </c>
      <c r="E2" s="35" t="n">
        <v>1</v>
      </c>
      <c r="F2" s="35" t="inlineStr">
        <is>
          <t>00110</t>
        </is>
      </c>
      <c r="G2" s="35" t="inlineStr">
        <is>
          <t>00110</t>
        </is>
      </c>
      <c r="H2" s="35" t="inlineStr">
        <is>
          <t>Pen 1</t>
        </is>
      </c>
      <c r="I2" s="35" t="inlineStr">
        <is>
          <t>TAG_00110</t>
        </is>
      </c>
      <c r="J2" s="35" t="n">
        <v>0.5</v>
      </c>
      <c r="K2" s="35" t="n">
        <v>0.5</v>
      </c>
      <c r="L2" s="35" t="n">
        <v>0</v>
      </c>
      <c r="M2" s="35" t="inlineStr"/>
      <c r="N2" s="35" t="inlineStr">
        <is>
          <t>Hardiness, Meat, Hair</t>
        </is>
      </c>
    </row>
    <row r="3">
      <c r="A3" s="35" t="inlineStr">
        <is>
          <t>Pen 1</t>
        </is>
      </c>
      <c r="B3" s="35" t="inlineStr">
        <is>
          <t>Azure</t>
        </is>
      </c>
      <c r="C3" s="35" t="inlineStr">
        <is>
          <t>20</t>
        </is>
      </c>
      <c r="D3" s="35" t="inlineStr">
        <is>
          <t>AZURE_0020</t>
        </is>
      </c>
      <c r="E3" s="35" t="n">
        <v>2</v>
      </c>
      <c r="F3" s="35" t="inlineStr">
        <is>
          <t>Twin ram (brown &amp; white)</t>
        </is>
      </c>
      <c r="G3" s="35" t="n"/>
      <c r="H3" s="35" t="inlineStr">
        <is>
          <t>Pen 1</t>
        </is>
      </c>
      <c r="I3" s="35" t="inlineStr">
        <is>
          <t>P1_TWIN_RAM_BROWNWHITE</t>
        </is>
      </c>
      <c r="J3" s="35" t="n">
        <v>0.5</v>
      </c>
      <c r="K3" s="35" t="n">
        <v>0.5</v>
      </c>
      <c r="L3" s="35" t="n">
        <v>0</v>
      </c>
      <c r="M3" s="35" t="inlineStr"/>
      <c r="N3" s="35" t="inlineStr">
        <is>
          <t>Hardiness, Meat, Hair</t>
        </is>
      </c>
    </row>
    <row r="4">
      <c r="A4" s="35" t="inlineStr">
        <is>
          <t>Pen 1</t>
        </is>
      </c>
      <c r="B4" s="35" t="inlineStr">
        <is>
          <t>Azure</t>
        </is>
      </c>
      <c r="C4" s="35" t="inlineStr">
        <is>
          <t>20</t>
        </is>
      </c>
      <c r="D4" s="35" t="inlineStr">
        <is>
          <t>AZURE_0020</t>
        </is>
      </c>
      <c r="E4" s="35" t="n">
        <v>3</v>
      </c>
      <c r="F4" s="35" t="inlineStr">
        <is>
          <t>Twin ram (black &amp; white)</t>
        </is>
      </c>
      <c r="G4" s="35" t="n"/>
      <c r="H4" s="35" t="inlineStr">
        <is>
          <t>Pen 1</t>
        </is>
      </c>
      <c r="I4" s="35" t="inlineStr">
        <is>
          <t>P1_TWIN_RAM_BLACKWHITE</t>
        </is>
      </c>
      <c r="J4" s="35" t="n">
        <v>0.5</v>
      </c>
      <c r="K4" s="35" t="n">
        <v>0.5</v>
      </c>
      <c r="L4" s="35" t="n">
        <v>0</v>
      </c>
      <c r="M4" s="35" t="inlineStr"/>
      <c r="N4" s="35" t="inlineStr">
        <is>
          <t>Hardiness, Meat, Hair</t>
        </is>
      </c>
    </row>
    <row r="5">
      <c r="A5" s="35" t="inlineStr">
        <is>
          <t>Pen 3</t>
        </is>
      </c>
      <c r="B5" s="35" t="inlineStr">
        <is>
          <t>Broken Tail</t>
        </is>
      </c>
      <c r="C5" s="35" t="n"/>
      <c r="D5" s="35" t="inlineStr">
        <is>
          <t>BROKEN_TAIL</t>
        </is>
      </c>
      <c r="E5" s="35" t="n">
        <v>1</v>
      </c>
      <c r="F5" s="35" t="inlineStr">
        <is>
          <t>00110</t>
        </is>
      </c>
      <c r="G5" s="35" t="inlineStr">
        <is>
          <t>00110</t>
        </is>
      </c>
      <c r="H5" s="35" t="inlineStr">
        <is>
          <t>Pen 1</t>
        </is>
      </c>
      <c r="I5" s="35" t="inlineStr">
        <is>
          <t>TAG_00110</t>
        </is>
      </c>
      <c r="J5" s="35" t="n">
        <v>0.5</v>
      </c>
      <c r="K5" s="35" t="n">
        <v>0.5</v>
      </c>
      <c r="L5" s="35" t="n">
        <v>0</v>
      </c>
      <c r="M5" s="35" t="inlineStr"/>
      <c r="N5" s="35" t="inlineStr">
        <is>
          <t>Hardiness, Meat, Hair</t>
        </is>
      </c>
    </row>
    <row r="6">
      <c r="A6" s="35" t="inlineStr">
        <is>
          <t>Pen 3</t>
        </is>
      </c>
      <c r="B6" s="35" t="inlineStr">
        <is>
          <t>Broken Tail</t>
        </is>
      </c>
      <c r="C6" s="35" t="n"/>
      <c r="D6" s="35" t="inlineStr">
        <is>
          <t>BROKEN_TAIL</t>
        </is>
      </c>
      <c r="E6" s="35" t="n">
        <v>2</v>
      </c>
      <c r="F6" s="35" t="inlineStr">
        <is>
          <t>Twin ram (brown &amp; white)</t>
        </is>
      </c>
      <c r="G6" s="35" t="n"/>
      <c r="H6" s="35" t="inlineStr">
        <is>
          <t>Pen 1</t>
        </is>
      </c>
      <c r="I6" s="35" t="inlineStr">
        <is>
          <t>P1_TWIN_RAM_BROWNWHITE</t>
        </is>
      </c>
      <c r="J6" s="35" t="n">
        <v>0.5</v>
      </c>
      <c r="K6" s="35" t="n">
        <v>0.5</v>
      </c>
      <c r="L6" s="35" t="n">
        <v>0</v>
      </c>
      <c r="M6" s="35" t="inlineStr"/>
      <c r="N6" s="35" t="inlineStr">
        <is>
          <t>Hardiness, Meat, Hair</t>
        </is>
      </c>
    </row>
    <row r="7">
      <c r="A7" s="35" t="inlineStr">
        <is>
          <t>Pen 3</t>
        </is>
      </c>
      <c r="B7" s="35" t="inlineStr">
        <is>
          <t>Broken Tail</t>
        </is>
      </c>
      <c r="C7" s="35" t="n"/>
      <c r="D7" s="35" t="inlineStr">
        <is>
          <t>BROKEN_TAIL</t>
        </is>
      </c>
      <c r="E7" s="35" t="n">
        <v>3</v>
      </c>
      <c r="F7" s="35" t="inlineStr">
        <is>
          <t>Twin ram (black &amp; white)</t>
        </is>
      </c>
      <c r="G7" s="35" t="n"/>
      <c r="H7" s="35" t="inlineStr">
        <is>
          <t>Pen 1</t>
        </is>
      </c>
      <c r="I7" s="35" t="inlineStr">
        <is>
          <t>P1_TWIN_RAM_BLACKWHITE</t>
        </is>
      </c>
      <c r="J7" s="35" t="n">
        <v>0.5</v>
      </c>
      <c r="K7" s="35" t="n">
        <v>0.5</v>
      </c>
      <c r="L7" s="35" t="n">
        <v>0</v>
      </c>
      <c r="M7" s="35" t="inlineStr"/>
      <c r="N7" s="35" t="inlineStr">
        <is>
          <t>Hardiness, Meat, Hair</t>
        </is>
      </c>
    </row>
    <row r="8">
      <c r="A8" s="35" t="inlineStr">
        <is>
          <t>Pen 3</t>
        </is>
      </c>
      <c r="B8" s="35" t="inlineStr">
        <is>
          <t>Charlie's ewe</t>
        </is>
      </c>
      <c r="C8" s="35" t="n"/>
      <c r="D8" s="35" t="inlineStr">
        <is>
          <t>CHARLIES_EWE_1</t>
        </is>
      </c>
      <c r="E8" s="35" t="n">
        <v>1</v>
      </c>
      <c r="F8" s="35" t="inlineStr">
        <is>
          <t>00110</t>
        </is>
      </c>
      <c r="G8" s="35" t="inlineStr">
        <is>
          <t>00110</t>
        </is>
      </c>
      <c r="H8" s="35" t="inlineStr">
        <is>
          <t>Pen 1</t>
        </is>
      </c>
      <c r="I8" s="35" t="inlineStr">
        <is>
          <t>TAG_00110</t>
        </is>
      </c>
      <c r="J8" s="35" t="n">
        <v>0.5</v>
      </c>
      <c r="K8" s="35" t="n">
        <v>0.5</v>
      </c>
      <c r="L8" s="35" t="n">
        <v>0</v>
      </c>
      <c r="M8" s="35" t="inlineStr"/>
      <c r="N8" s="35" t="inlineStr">
        <is>
          <t>Hardiness, Meat, Hair</t>
        </is>
      </c>
    </row>
    <row r="9">
      <c r="A9" s="35" t="inlineStr">
        <is>
          <t>Pen 3</t>
        </is>
      </c>
      <c r="B9" s="35" t="inlineStr">
        <is>
          <t>Charlie's ewe</t>
        </is>
      </c>
      <c r="C9" s="35" t="n"/>
      <c r="D9" s="35" t="inlineStr">
        <is>
          <t>CHARLIES_EWE_1</t>
        </is>
      </c>
      <c r="E9" s="35" t="n">
        <v>2</v>
      </c>
      <c r="F9" s="35" t="inlineStr">
        <is>
          <t>Twin ram (brown &amp; white)</t>
        </is>
      </c>
      <c r="G9" s="35" t="n"/>
      <c r="H9" s="35" t="inlineStr">
        <is>
          <t>Pen 1</t>
        </is>
      </c>
      <c r="I9" s="35" t="inlineStr">
        <is>
          <t>P1_TWIN_RAM_BROWNWHITE</t>
        </is>
      </c>
      <c r="J9" s="35" t="n">
        <v>0.5</v>
      </c>
      <c r="K9" s="35" t="n">
        <v>0.5</v>
      </c>
      <c r="L9" s="35" t="n">
        <v>0</v>
      </c>
      <c r="M9" s="35" t="inlineStr"/>
      <c r="N9" s="35" t="inlineStr">
        <is>
          <t>Hardiness, Meat, Hair</t>
        </is>
      </c>
    </row>
    <row r="10">
      <c r="A10" s="35" t="inlineStr">
        <is>
          <t>Pen 3</t>
        </is>
      </c>
      <c r="B10" s="35" t="inlineStr">
        <is>
          <t>Charlie's ewe</t>
        </is>
      </c>
      <c r="C10" s="35" t="n"/>
      <c r="D10" s="35" t="inlineStr">
        <is>
          <t>CHARLIES_EWE_1</t>
        </is>
      </c>
      <c r="E10" s="35" t="n">
        <v>3</v>
      </c>
      <c r="F10" s="35" t="inlineStr">
        <is>
          <t>Twin ram (black &amp; white)</t>
        </is>
      </c>
      <c r="G10" s="35" t="n"/>
      <c r="H10" s="35" t="inlineStr">
        <is>
          <t>Pen 1</t>
        </is>
      </c>
      <c r="I10" s="35" t="inlineStr">
        <is>
          <t>P1_TWIN_RAM_BLACKWHITE</t>
        </is>
      </c>
      <c r="J10" s="35" t="n">
        <v>0.5</v>
      </c>
      <c r="K10" s="35" t="n">
        <v>0.5</v>
      </c>
      <c r="L10" s="35" t="n">
        <v>0</v>
      </c>
      <c r="M10" s="35" t="inlineStr"/>
      <c r="N10" s="35" t="inlineStr">
        <is>
          <t>Hardiness, Meat, Hair</t>
        </is>
      </c>
    </row>
    <row r="11">
      <c r="A11" s="35" t="inlineStr">
        <is>
          <t>Pen 1</t>
        </is>
      </c>
      <c r="B11" s="35" t="inlineStr">
        <is>
          <t>Charlie's ewe 2</t>
        </is>
      </c>
      <c r="C11" s="35" t="n"/>
      <c r="D11" s="35" t="inlineStr">
        <is>
          <t>CHARLIES_EWE_2</t>
        </is>
      </c>
      <c r="E11" s="35" t="n">
        <v>1</v>
      </c>
      <c r="F11" s="35" t="inlineStr">
        <is>
          <t>00110</t>
        </is>
      </c>
      <c r="G11" s="35" t="inlineStr">
        <is>
          <t>00110</t>
        </is>
      </c>
      <c r="H11" s="35" t="inlineStr">
        <is>
          <t>Pen 1</t>
        </is>
      </c>
      <c r="I11" s="35" t="inlineStr">
        <is>
          <t>TAG_00110</t>
        </is>
      </c>
      <c r="J11" s="35" t="n">
        <v>0.5</v>
      </c>
      <c r="K11" s="35" t="n">
        <v>0.5</v>
      </c>
      <c r="L11" s="35" t="n">
        <v>0</v>
      </c>
      <c r="M11" s="35" t="inlineStr"/>
      <c r="N11" s="35" t="inlineStr">
        <is>
          <t>Hardiness, Meat, Hair</t>
        </is>
      </c>
    </row>
    <row r="12">
      <c r="A12" s="35" t="inlineStr">
        <is>
          <t>Pen 1</t>
        </is>
      </c>
      <c r="B12" s="35" t="inlineStr">
        <is>
          <t>Charlie's ewe 2</t>
        </is>
      </c>
      <c r="C12" s="35" t="n"/>
      <c r="D12" s="35" t="inlineStr">
        <is>
          <t>CHARLIES_EWE_2</t>
        </is>
      </c>
      <c r="E12" s="35" t="n">
        <v>2</v>
      </c>
      <c r="F12" s="35" t="inlineStr">
        <is>
          <t>Twin ram (brown &amp; white)</t>
        </is>
      </c>
      <c r="G12" s="35" t="n"/>
      <c r="H12" s="35" t="inlineStr">
        <is>
          <t>Pen 1</t>
        </is>
      </c>
      <c r="I12" s="35" t="inlineStr">
        <is>
          <t>P1_TWIN_RAM_BROWNWHITE</t>
        </is>
      </c>
      <c r="J12" s="35" t="n">
        <v>0.5</v>
      </c>
      <c r="K12" s="35" t="n">
        <v>0.5</v>
      </c>
      <c r="L12" s="35" t="n">
        <v>0</v>
      </c>
      <c r="M12" s="35" t="inlineStr"/>
      <c r="N12" s="35" t="inlineStr">
        <is>
          <t>Hardiness, Meat, Hair</t>
        </is>
      </c>
    </row>
    <row r="13">
      <c r="A13" s="35" t="inlineStr">
        <is>
          <t>Pen 1</t>
        </is>
      </c>
      <c r="B13" s="35" t="inlineStr">
        <is>
          <t>Charlie's ewe 2</t>
        </is>
      </c>
      <c r="C13" s="35" t="n"/>
      <c r="D13" s="35" t="inlineStr">
        <is>
          <t>CHARLIES_EWE_2</t>
        </is>
      </c>
      <c r="E13" s="35" t="n">
        <v>3</v>
      </c>
      <c r="F13" s="35" t="inlineStr">
        <is>
          <t>Twin ram (black &amp; white)</t>
        </is>
      </c>
      <c r="G13" s="35" t="n"/>
      <c r="H13" s="35" t="inlineStr">
        <is>
          <t>Pen 1</t>
        </is>
      </c>
      <c r="I13" s="35" t="inlineStr">
        <is>
          <t>P1_TWIN_RAM_BLACKWHITE</t>
        </is>
      </c>
      <c r="J13" s="35" t="n">
        <v>0.5</v>
      </c>
      <c r="K13" s="35" t="n">
        <v>0.5</v>
      </c>
      <c r="L13" s="35" t="n">
        <v>0</v>
      </c>
      <c r="M13" s="35" t="inlineStr"/>
      <c r="N13" s="35" t="inlineStr">
        <is>
          <t>Hardiness, Meat, Hair</t>
        </is>
      </c>
    </row>
    <row r="14">
      <c r="A14" s="35" t="inlineStr">
        <is>
          <t>Tree Fort</t>
        </is>
      </c>
      <c r="B14" s="35" t="inlineStr">
        <is>
          <t>Charlie's ewe 3</t>
        </is>
      </c>
      <c r="C14" s="35" t="n"/>
      <c r="D14" s="35" t="inlineStr">
        <is>
          <t>CHARLIES_EWE_3</t>
        </is>
      </c>
      <c r="E14" s="35" t="n">
        <v>1</v>
      </c>
      <c r="F14" s="35" t="inlineStr">
        <is>
          <t>00110</t>
        </is>
      </c>
      <c r="G14" s="35" t="inlineStr">
        <is>
          <t>00110</t>
        </is>
      </c>
      <c r="H14" s="35" t="inlineStr">
        <is>
          <t>Pen 1</t>
        </is>
      </c>
      <c r="I14" s="35" t="inlineStr">
        <is>
          <t>TAG_00110</t>
        </is>
      </c>
      <c r="J14" s="35" t="n">
        <v>0.5</v>
      </c>
      <c r="K14" s="35" t="n">
        <v>0.5</v>
      </c>
      <c r="L14" s="35" t="n">
        <v>0</v>
      </c>
      <c r="M14" s="35" t="inlineStr"/>
      <c r="N14" s="35" t="inlineStr">
        <is>
          <t>Hardiness, Meat, Hair</t>
        </is>
      </c>
    </row>
    <row r="15">
      <c r="A15" s="35" t="inlineStr">
        <is>
          <t>Tree Fort</t>
        </is>
      </c>
      <c r="B15" s="35" t="inlineStr">
        <is>
          <t>Charlie's ewe 3</t>
        </is>
      </c>
      <c r="C15" s="35" t="n"/>
      <c r="D15" s="35" t="inlineStr">
        <is>
          <t>CHARLIES_EWE_3</t>
        </is>
      </c>
      <c r="E15" s="35" t="n">
        <v>2</v>
      </c>
      <c r="F15" s="35" t="inlineStr">
        <is>
          <t>Twin ram (brown &amp; white)</t>
        </is>
      </c>
      <c r="G15" s="35" t="n"/>
      <c r="H15" s="35" t="inlineStr">
        <is>
          <t>Pen 1</t>
        </is>
      </c>
      <c r="I15" s="35" t="inlineStr">
        <is>
          <t>P1_TWIN_RAM_BROWNWHITE</t>
        </is>
      </c>
      <c r="J15" s="35" t="n">
        <v>0.5</v>
      </c>
      <c r="K15" s="35" t="n">
        <v>0.5</v>
      </c>
      <c r="L15" s="35" t="n">
        <v>0</v>
      </c>
      <c r="M15" s="35" t="inlineStr"/>
      <c r="N15" s="35" t="inlineStr">
        <is>
          <t>Hardiness, Meat, Hair</t>
        </is>
      </c>
    </row>
    <row r="16">
      <c r="A16" s="35" t="inlineStr">
        <is>
          <t>Tree Fort</t>
        </is>
      </c>
      <c r="B16" s="35" t="inlineStr">
        <is>
          <t>Charlie's ewe 3</t>
        </is>
      </c>
      <c r="C16" s="35" t="n"/>
      <c r="D16" s="35" t="inlineStr">
        <is>
          <t>CHARLIES_EWE_3</t>
        </is>
      </c>
      <c r="E16" s="35" t="n">
        <v>3</v>
      </c>
      <c r="F16" s="35" t="inlineStr">
        <is>
          <t>Twin ram (black &amp; white)</t>
        </is>
      </c>
      <c r="G16" s="35" t="n"/>
      <c r="H16" s="35" t="inlineStr">
        <is>
          <t>Pen 1</t>
        </is>
      </c>
      <c r="I16" s="35" t="inlineStr">
        <is>
          <t>P1_TWIN_RAM_BLACKWHITE</t>
        </is>
      </c>
      <c r="J16" s="35" t="n">
        <v>0.5</v>
      </c>
      <c r="K16" s="35" t="n">
        <v>0.5</v>
      </c>
      <c r="L16" s="35" t="n">
        <v>0</v>
      </c>
      <c r="M16" s="35" t="inlineStr"/>
      <c r="N16" s="35" t="inlineStr">
        <is>
          <t>Hardiness, Meat, Hair</t>
        </is>
      </c>
    </row>
    <row r="17">
      <c r="A17" s="35" t="inlineStr">
        <is>
          <t>Pen 6</t>
        </is>
      </c>
      <c r="B17" s="35" t="inlineStr">
        <is>
          <t>Elsie</t>
        </is>
      </c>
      <c r="C17" s="35" t="n"/>
      <c r="D17" s="35" t="inlineStr">
        <is>
          <t>ELSIE</t>
        </is>
      </c>
      <c r="E17" s="35" t="n">
        <v>1</v>
      </c>
      <c r="F17" s="35" t="inlineStr">
        <is>
          <t>00110</t>
        </is>
      </c>
      <c r="G17" s="35" t="inlineStr">
        <is>
          <t>00110</t>
        </is>
      </c>
      <c r="H17" s="35" t="inlineStr">
        <is>
          <t>Pen 1</t>
        </is>
      </c>
      <c r="I17" s="35" t="inlineStr">
        <is>
          <t>TAG_00110</t>
        </is>
      </c>
      <c r="J17" s="35" t="n">
        <v>0.5</v>
      </c>
      <c r="K17" s="35" t="n">
        <v>0.5</v>
      </c>
      <c r="L17" s="35" t="n">
        <v>0</v>
      </c>
      <c r="M17" s="35" t="inlineStr"/>
      <c r="N17" s="35" t="inlineStr">
        <is>
          <t>Hardiness, Meat, Hair</t>
        </is>
      </c>
    </row>
    <row r="18">
      <c r="A18" s="35" t="inlineStr">
        <is>
          <t>Pen 6</t>
        </is>
      </c>
      <c r="B18" s="35" t="inlineStr">
        <is>
          <t>Elsie</t>
        </is>
      </c>
      <c r="C18" s="35" t="n"/>
      <c r="D18" s="35" t="inlineStr">
        <is>
          <t>ELSIE</t>
        </is>
      </c>
      <c r="E18" s="35" t="n">
        <v>2</v>
      </c>
      <c r="F18" s="35" t="inlineStr">
        <is>
          <t>Twin ram (brown &amp; white)</t>
        </is>
      </c>
      <c r="G18" s="35" t="n"/>
      <c r="H18" s="35" t="inlineStr">
        <is>
          <t>Pen 1</t>
        </is>
      </c>
      <c r="I18" s="35" t="inlineStr">
        <is>
          <t>P1_TWIN_RAM_BROWNWHITE</t>
        </is>
      </c>
      <c r="J18" s="35" t="n">
        <v>0.5</v>
      </c>
      <c r="K18" s="35" t="n">
        <v>0.5</v>
      </c>
      <c r="L18" s="35" t="n">
        <v>0</v>
      </c>
      <c r="M18" s="35" t="inlineStr"/>
      <c r="N18" s="35" t="inlineStr">
        <is>
          <t>Hardiness, Meat, Hair</t>
        </is>
      </c>
    </row>
    <row r="19">
      <c r="A19" s="35" t="inlineStr">
        <is>
          <t>Pen 6</t>
        </is>
      </c>
      <c r="B19" s="35" t="inlineStr">
        <is>
          <t>Elsie</t>
        </is>
      </c>
      <c r="C19" s="35" t="n"/>
      <c r="D19" s="35" t="inlineStr">
        <is>
          <t>ELSIE</t>
        </is>
      </c>
      <c r="E19" s="35" t="n">
        <v>3</v>
      </c>
      <c r="F19" s="35" t="inlineStr">
        <is>
          <t>Twin ram (black &amp; white)</t>
        </is>
      </c>
      <c r="G19" s="35" t="n"/>
      <c r="H19" s="35" t="inlineStr">
        <is>
          <t>Pen 1</t>
        </is>
      </c>
      <c r="I19" s="35" t="inlineStr">
        <is>
          <t>P1_TWIN_RAM_BLACKWHITE</t>
        </is>
      </c>
      <c r="J19" s="35" t="n">
        <v>0.5</v>
      </c>
      <c r="K19" s="35" t="n">
        <v>0.5</v>
      </c>
      <c r="L19" s="35" t="n">
        <v>0</v>
      </c>
      <c r="M19" s="35" t="inlineStr"/>
      <c r="N19" s="35" t="inlineStr">
        <is>
          <t>Hardiness, Meat, Hair</t>
        </is>
      </c>
    </row>
    <row r="20">
      <c r="A20" s="35" t="inlineStr">
        <is>
          <t>Pen 4</t>
        </is>
      </c>
      <c r="B20" s="35" t="inlineStr">
        <is>
          <t>Fms daughter</t>
        </is>
      </c>
      <c r="C20" s="35" t="n"/>
      <c r="D20" s="35" t="inlineStr">
        <is>
          <t>FMS_DAUGHTER</t>
        </is>
      </c>
      <c r="E20" s="35" t="n">
        <v>1</v>
      </c>
      <c r="F20" s="35" t="inlineStr">
        <is>
          <t>00110</t>
        </is>
      </c>
      <c r="G20" s="35" t="inlineStr">
        <is>
          <t>00110</t>
        </is>
      </c>
      <c r="H20" s="35" t="inlineStr">
        <is>
          <t>Pen 1</t>
        </is>
      </c>
      <c r="I20" s="35" t="inlineStr">
        <is>
          <t>TAG_00110</t>
        </is>
      </c>
      <c r="J20" s="35" t="n">
        <v>0.5</v>
      </c>
      <c r="K20" s="35" t="n">
        <v>0.5</v>
      </c>
      <c r="L20" s="35" t="n">
        <v>0</v>
      </c>
      <c r="M20" s="35" t="inlineStr"/>
      <c r="N20" s="35" t="inlineStr">
        <is>
          <t>Hardiness, Meat, Hair</t>
        </is>
      </c>
    </row>
    <row r="21">
      <c r="A21" s="35" t="inlineStr">
        <is>
          <t>Pen 4</t>
        </is>
      </c>
      <c r="B21" s="35" t="inlineStr">
        <is>
          <t>Fms daughter</t>
        </is>
      </c>
      <c r="C21" s="35" t="n"/>
      <c r="D21" s="35" t="inlineStr">
        <is>
          <t>FMS_DAUGHTER</t>
        </is>
      </c>
      <c r="E21" s="35" t="n">
        <v>2</v>
      </c>
      <c r="F21" s="35" t="inlineStr">
        <is>
          <t>Twin ram (brown &amp; white)</t>
        </is>
      </c>
      <c r="G21" s="35" t="n"/>
      <c r="H21" s="35" t="inlineStr">
        <is>
          <t>Pen 1</t>
        </is>
      </c>
      <c r="I21" s="35" t="inlineStr">
        <is>
          <t>P1_TWIN_RAM_BROWNWHITE</t>
        </is>
      </c>
      <c r="J21" s="35" t="n">
        <v>0.5</v>
      </c>
      <c r="K21" s="35" t="n">
        <v>0.5</v>
      </c>
      <c r="L21" s="35" t="n">
        <v>0</v>
      </c>
      <c r="M21" s="35" t="inlineStr"/>
      <c r="N21" s="35" t="inlineStr">
        <is>
          <t>Hardiness, Meat, Hair</t>
        </is>
      </c>
    </row>
    <row r="22">
      <c r="A22" s="35" t="inlineStr">
        <is>
          <t>Pen 4</t>
        </is>
      </c>
      <c r="B22" s="35" t="inlineStr">
        <is>
          <t>Fms daughter</t>
        </is>
      </c>
      <c r="C22" s="35" t="n"/>
      <c r="D22" s="35" t="inlineStr">
        <is>
          <t>FMS_DAUGHTER</t>
        </is>
      </c>
      <c r="E22" s="35" t="n">
        <v>3</v>
      </c>
      <c r="F22" s="35" t="inlineStr">
        <is>
          <t>Twin ram (black &amp; white)</t>
        </is>
      </c>
      <c r="G22" s="35" t="n"/>
      <c r="H22" s="35" t="inlineStr">
        <is>
          <t>Pen 1</t>
        </is>
      </c>
      <c r="I22" s="35" t="inlineStr">
        <is>
          <t>P1_TWIN_RAM_BLACKWHITE</t>
        </is>
      </c>
      <c r="J22" s="35" t="n">
        <v>0.5</v>
      </c>
      <c r="K22" s="35" t="n">
        <v>0.5</v>
      </c>
      <c r="L22" s="35" t="n">
        <v>0</v>
      </c>
      <c r="M22" s="35" t="inlineStr"/>
      <c r="N22" s="35" t="inlineStr">
        <is>
          <t>Hardiness, Meat, Hair</t>
        </is>
      </c>
    </row>
    <row r="23">
      <c r="A23" s="35" t="inlineStr">
        <is>
          <t>Pen 4</t>
        </is>
      </c>
      <c r="B23" s="35" t="inlineStr">
        <is>
          <t>Gigi</t>
        </is>
      </c>
      <c r="C23" s="35" t="n"/>
      <c r="D23" s="35" t="inlineStr">
        <is>
          <t>GIGI</t>
        </is>
      </c>
      <c r="E23" s="35" t="n">
        <v>1</v>
      </c>
      <c r="F23" s="35" t="inlineStr">
        <is>
          <t>00110</t>
        </is>
      </c>
      <c r="G23" s="35" t="inlineStr">
        <is>
          <t>00110</t>
        </is>
      </c>
      <c r="H23" s="35" t="inlineStr">
        <is>
          <t>Pen 1</t>
        </is>
      </c>
      <c r="I23" s="35" t="inlineStr">
        <is>
          <t>TAG_00110</t>
        </is>
      </c>
      <c r="J23" s="35" t="n">
        <v>0.5</v>
      </c>
      <c r="K23" s="35" t="n">
        <v>0.5</v>
      </c>
      <c r="L23" s="35" t="n">
        <v>0</v>
      </c>
      <c r="M23" s="35" t="inlineStr"/>
      <c r="N23" s="35" t="inlineStr">
        <is>
          <t>Hardiness, Meat, Hair</t>
        </is>
      </c>
    </row>
    <row r="24">
      <c r="A24" s="35" t="inlineStr">
        <is>
          <t>Pen 4</t>
        </is>
      </c>
      <c r="B24" s="35" t="inlineStr">
        <is>
          <t>Gigi</t>
        </is>
      </c>
      <c r="C24" s="35" t="n"/>
      <c r="D24" s="35" t="inlineStr">
        <is>
          <t>GIGI</t>
        </is>
      </c>
      <c r="E24" s="35" t="n">
        <v>2</v>
      </c>
      <c r="F24" s="35" t="inlineStr">
        <is>
          <t>Twin ram (brown &amp; white)</t>
        </is>
      </c>
      <c r="G24" s="35" t="n"/>
      <c r="H24" s="35" t="inlineStr">
        <is>
          <t>Pen 1</t>
        </is>
      </c>
      <c r="I24" s="35" t="inlineStr">
        <is>
          <t>P1_TWIN_RAM_BROWNWHITE</t>
        </is>
      </c>
      <c r="J24" s="35" t="n">
        <v>0.5</v>
      </c>
      <c r="K24" s="35" t="n">
        <v>0.5</v>
      </c>
      <c r="L24" s="35" t="n">
        <v>0</v>
      </c>
      <c r="M24" s="35" t="inlineStr"/>
      <c r="N24" s="35" t="inlineStr">
        <is>
          <t>Hardiness, Meat, Hair</t>
        </is>
      </c>
    </row>
    <row r="25">
      <c r="A25" s="35" t="inlineStr">
        <is>
          <t>Pen 4</t>
        </is>
      </c>
      <c r="B25" s="35" t="inlineStr">
        <is>
          <t>Gigi</t>
        </is>
      </c>
      <c r="C25" s="35" t="n"/>
      <c r="D25" s="35" t="inlineStr">
        <is>
          <t>GIGI</t>
        </is>
      </c>
      <c r="E25" s="35" t="n">
        <v>3</v>
      </c>
      <c r="F25" s="35" t="inlineStr">
        <is>
          <t>Twin ram (black &amp; white)</t>
        </is>
      </c>
      <c r="G25" s="35" t="n"/>
      <c r="H25" s="35" t="inlineStr">
        <is>
          <t>Pen 1</t>
        </is>
      </c>
      <c r="I25" s="35" t="inlineStr">
        <is>
          <t>P1_TWIN_RAM_BLACKWHITE</t>
        </is>
      </c>
      <c r="J25" s="35" t="n">
        <v>0.5</v>
      </c>
      <c r="K25" s="35" t="n">
        <v>0.5</v>
      </c>
      <c r="L25" s="35" t="n">
        <v>0</v>
      </c>
      <c r="M25" s="35" t="inlineStr"/>
      <c r="N25" s="35" t="inlineStr">
        <is>
          <t>Hardiness, Meat, Hair</t>
        </is>
      </c>
    </row>
    <row r="26">
      <c r="A26" s="35" t="inlineStr">
        <is>
          <t>Pen 3</t>
        </is>
      </c>
      <c r="B26" s="35" t="inlineStr">
        <is>
          <t>Nori</t>
        </is>
      </c>
      <c r="C26" s="35" t="inlineStr">
        <is>
          <t>0029</t>
        </is>
      </c>
      <c r="D26" s="35" t="inlineStr">
        <is>
          <t>NORI_0029</t>
        </is>
      </c>
      <c r="E26" s="35" t="n">
        <v>1</v>
      </c>
      <c r="F26" s="35" t="inlineStr">
        <is>
          <t>00110</t>
        </is>
      </c>
      <c r="G26" s="35" t="inlineStr">
        <is>
          <t>00110</t>
        </is>
      </c>
      <c r="H26" s="35" t="inlineStr">
        <is>
          <t>Pen 1</t>
        </is>
      </c>
      <c r="I26" s="35" t="inlineStr">
        <is>
          <t>TAG_00110</t>
        </is>
      </c>
      <c r="J26" s="35" t="n">
        <v>0.5</v>
      </c>
      <c r="K26" s="35" t="n">
        <v>0.5</v>
      </c>
      <c r="L26" s="35" t="n">
        <v>0</v>
      </c>
      <c r="M26" s="35" t="inlineStr"/>
      <c r="N26" s="35" t="inlineStr">
        <is>
          <t>Hardiness, Meat, Hair</t>
        </is>
      </c>
    </row>
    <row r="27">
      <c r="A27" s="35" t="inlineStr">
        <is>
          <t>Pen 3</t>
        </is>
      </c>
      <c r="B27" s="35" t="inlineStr">
        <is>
          <t>Nori</t>
        </is>
      </c>
      <c r="C27" s="35" t="inlineStr">
        <is>
          <t>0029</t>
        </is>
      </c>
      <c r="D27" s="35" t="inlineStr">
        <is>
          <t>NORI_0029</t>
        </is>
      </c>
      <c r="E27" s="35" t="n">
        <v>2</v>
      </c>
      <c r="F27" s="35" t="inlineStr">
        <is>
          <t>Twin ram (brown &amp; white)</t>
        </is>
      </c>
      <c r="G27" s="35" t="n"/>
      <c r="H27" s="35" t="inlineStr">
        <is>
          <t>Pen 1</t>
        </is>
      </c>
      <c r="I27" s="35" t="inlineStr">
        <is>
          <t>P1_TWIN_RAM_BROWNWHITE</t>
        </is>
      </c>
      <c r="J27" s="35" t="n">
        <v>0.5</v>
      </c>
      <c r="K27" s="35" t="n">
        <v>0.5</v>
      </c>
      <c r="L27" s="35" t="n">
        <v>0</v>
      </c>
      <c r="M27" s="35" t="inlineStr"/>
      <c r="N27" s="35" t="inlineStr">
        <is>
          <t>Hardiness, Meat, Hair</t>
        </is>
      </c>
    </row>
    <row r="28">
      <c r="A28" s="35" t="inlineStr">
        <is>
          <t>Pen 3</t>
        </is>
      </c>
      <c r="B28" s="35" t="inlineStr">
        <is>
          <t>Nori</t>
        </is>
      </c>
      <c r="C28" s="35" t="inlineStr">
        <is>
          <t>0029</t>
        </is>
      </c>
      <c r="D28" s="35" t="inlineStr">
        <is>
          <t>NORI_0029</t>
        </is>
      </c>
      <c r="E28" s="35" t="n">
        <v>3</v>
      </c>
      <c r="F28" s="35" t="inlineStr">
        <is>
          <t>Twin ram (black &amp; white)</t>
        </is>
      </c>
      <c r="G28" s="35" t="n"/>
      <c r="H28" s="35" t="inlineStr">
        <is>
          <t>Pen 1</t>
        </is>
      </c>
      <c r="I28" s="35" t="inlineStr">
        <is>
          <t>P1_TWIN_RAM_BLACKWHITE</t>
        </is>
      </c>
      <c r="J28" s="35" t="n">
        <v>0.5</v>
      </c>
      <c r="K28" s="35" t="n">
        <v>0.5</v>
      </c>
      <c r="L28" s="35" t="n">
        <v>0</v>
      </c>
      <c r="M28" s="35" t="inlineStr"/>
      <c r="N28" s="35" t="inlineStr">
        <is>
          <t>Hardiness, Meat, Hair</t>
        </is>
      </c>
    </row>
    <row r="29">
      <c r="A29" s="35" t="inlineStr">
        <is>
          <t>Pen 4</t>
        </is>
      </c>
      <c r="B29" s="35" t="inlineStr">
        <is>
          <t>Ewe lamb (black)</t>
        </is>
      </c>
      <c r="C29" s="35" t="n"/>
      <c r="D29" s="35" t="inlineStr">
        <is>
          <t>P4_EWE_LAMB_BLACK_01</t>
        </is>
      </c>
      <c r="E29" s="35" t="n">
        <v>1</v>
      </c>
      <c r="F29" s="35" t="inlineStr">
        <is>
          <t>00110</t>
        </is>
      </c>
      <c r="G29" s="35" t="inlineStr">
        <is>
          <t>00110</t>
        </is>
      </c>
      <c r="H29" s="35" t="inlineStr">
        <is>
          <t>Pen 1</t>
        </is>
      </c>
      <c r="I29" s="35" t="inlineStr">
        <is>
          <t>TAG_00110</t>
        </is>
      </c>
      <c r="J29" s="35" t="n">
        <v>0.5</v>
      </c>
      <c r="K29" s="35" t="n">
        <v>0.5</v>
      </c>
      <c r="L29" s="35" t="n">
        <v>0</v>
      </c>
      <c r="M29" s="35" t="inlineStr"/>
      <c r="N29" s="35" t="inlineStr">
        <is>
          <t>Hardiness, Meat, Hair</t>
        </is>
      </c>
    </row>
    <row r="30">
      <c r="A30" s="35" t="inlineStr">
        <is>
          <t>Pen 4</t>
        </is>
      </c>
      <c r="B30" s="35" t="inlineStr">
        <is>
          <t>Ewe lamb (black)</t>
        </is>
      </c>
      <c r="C30" s="35" t="n"/>
      <c r="D30" s="35" t="inlineStr">
        <is>
          <t>P4_EWE_LAMB_BLACK_01</t>
        </is>
      </c>
      <c r="E30" s="35" t="n">
        <v>2</v>
      </c>
      <c r="F30" s="35" t="inlineStr">
        <is>
          <t>Twin ram (brown &amp; white)</t>
        </is>
      </c>
      <c r="G30" s="35" t="n"/>
      <c r="H30" s="35" t="inlineStr">
        <is>
          <t>Pen 1</t>
        </is>
      </c>
      <c r="I30" s="35" t="inlineStr">
        <is>
          <t>P1_TWIN_RAM_BROWNWHITE</t>
        </is>
      </c>
      <c r="J30" s="35" t="n">
        <v>0.5</v>
      </c>
      <c r="K30" s="35" t="n">
        <v>0.5</v>
      </c>
      <c r="L30" s="35" t="n">
        <v>0</v>
      </c>
      <c r="M30" s="35" t="inlineStr"/>
      <c r="N30" s="35" t="inlineStr">
        <is>
          <t>Hardiness, Meat, Hair</t>
        </is>
      </c>
    </row>
    <row r="31">
      <c r="A31" s="35" t="inlineStr">
        <is>
          <t>Pen 4</t>
        </is>
      </c>
      <c r="B31" s="35" t="inlineStr">
        <is>
          <t>Ewe lamb (black)</t>
        </is>
      </c>
      <c r="C31" s="35" t="n"/>
      <c r="D31" s="35" t="inlineStr">
        <is>
          <t>P4_EWE_LAMB_BLACK_01</t>
        </is>
      </c>
      <c r="E31" s="35" t="n">
        <v>3</v>
      </c>
      <c r="F31" s="35" t="inlineStr">
        <is>
          <t>Twin ram (black &amp; white)</t>
        </is>
      </c>
      <c r="G31" s="35" t="n"/>
      <c r="H31" s="35" t="inlineStr">
        <is>
          <t>Pen 1</t>
        </is>
      </c>
      <c r="I31" s="35" t="inlineStr">
        <is>
          <t>P1_TWIN_RAM_BLACKWHITE</t>
        </is>
      </c>
      <c r="J31" s="35" t="n">
        <v>0.5</v>
      </c>
      <c r="K31" s="35" t="n">
        <v>0.5</v>
      </c>
      <c r="L31" s="35" t="n">
        <v>0</v>
      </c>
      <c r="M31" s="35" t="inlineStr"/>
      <c r="N31" s="35" t="inlineStr">
        <is>
          <t>Hardiness, Meat, Hair</t>
        </is>
      </c>
    </row>
    <row r="32">
      <c r="A32" s="35" t="inlineStr">
        <is>
          <t>Pen 4</t>
        </is>
      </c>
      <c r="B32" s="35" t="inlineStr">
        <is>
          <t>Serendipity</t>
        </is>
      </c>
      <c r="C32" s="35" t="inlineStr">
        <is>
          <t>30</t>
        </is>
      </c>
      <c r="D32" s="35" t="inlineStr">
        <is>
          <t>SERENDIPITY</t>
        </is>
      </c>
      <c r="E32" s="35" t="n">
        <v>1</v>
      </c>
      <c r="F32" s="35" t="inlineStr">
        <is>
          <t>00110</t>
        </is>
      </c>
      <c r="G32" s="35" t="inlineStr">
        <is>
          <t>00110</t>
        </is>
      </c>
      <c r="H32" s="35" t="inlineStr">
        <is>
          <t>Pen 1</t>
        </is>
      </c>
      <c r="I32" s="35" t="inlineStr">
        <is>
          <t>TAG_00110</t>
        </is>
      </c>
      <c r="J32" s="35" t="n">
        <v>0.5</v>
      </c>
      <c r="K32" s="35" t="n">
        <v>0.5</v>
      </c>
      <c r="L32" s="35" t="n">
        <v>0</v>
      </c>
      <c r="M32" s="35" t="inlineStr"/>
      <c r="N32" s="35" t="inlineStr">
        <is>
          <t>Hardiness, Meat, Hair</t>
        </is>
      </c>
    </row>
    <row r="33">
      <c r="A33" s="35" t="inlineStr">
        <is>
          <t>Pen 4</t>
        </is>
      </c>
      <c r="B33" s="35" t="inlineStr">
        <is>
          <t>Serendipity</t>
        </is>
      </c>
      <c r="C33" s="35" t="inlineStr">
        <is>
          <t>30</t>
        </is>
      </c>
      <c r="D33" s="35" t="inlineStr">
        <is>
          <t>SERENDIPITY</t>
        </is>
      </c>
      <c r="E33" s="35" t="n">
        <v>2</v>
      </c>
      <c r="F33" s="35" t="inlineStr">
        <is>
          <t>Twin ram (brown &amp; white)</t>
        </is>
      </c>
      <c r="G33" s="35" t="n"/>
      <c r="H33" s="35" t="inlineStr">
        <is>
          <t>Pen 1</t>
        </is>
      </c>
      <c r="I33" s="35" t="inlineStr">
        <is>
          <t>P1_TWIN_RAM_BROWNWHITE</t>
        </is>
      </c>
      <c r="J33" s="35" t="n">
        <v>0.5</v>
      </c>
      <c r="K33" s="35" t="n">
        <v>0.5</v>
      </c>
      <c r="L33" s="35" t="n">
        <v>0</v>
      </c>
      <c r="M33" s="35" t="inlineStr"/>
      <c r="N33" s="35" t="inlineStr">
        <is>
          <t>Hardiness, Meat, Hair</t>
        </is>
      </c>
    </row>
    <row r="34">
      <c r="A34" s="35" t="inlineStr">
        <is>
          <t>Pen 4</t>
        </is>
      </c>
      <c r="B34" s="35" t="inlineStr">
        <is>
          <t>Serendipity</t>
        </is>
      </c>
      <c r="C34" s="35" t="inlineStr">
        <is>
          <t>30</t>
        </is>
      </c>
      <c r="D34" s="35" t="inlineStr">
        <is>
          <t>SERENDIPITY</t>
        </is>
      </c>
      <c r="E34" s="35" t="n">
        <v>3</v>
      </c>
      <c r="F34" s="35" t="inlineStr">
        <is>
          <t>Twin ram (black &amp; white)</t>
        </is>
      </c>
      <c r="G34" s="35" t="n"/>
      <c r="H34" s="35" t="inlineStr">
        <is>
          <t>Pen 1</t>
        </is>
      </c>
      <c r="I34" s="35" t="inlineStr">
        <is>
          <t>P1_TWIN_RAM_BLACKWHITE</t>
        </is>
      </c>
      <c r="J34" s="35" t="n">
        <v>0.5</v>
      </c>
      <c r="K34" s="35" t="n">
        <v>0.5</v>
      </c>
      <c r="L34" s="35" t="n">
        <v>0</v>
      </c>
      <c r="M34" s="35" t="inlineStr"/>
      <c r="N34" s="35" t="inlineStr">
        <is>
          <t>Hardiness, Meat, Hair</t>
        </is>
      </c>
    </row>
    <row r="35">
      <c r="A35" s="35" t="inlineStr">
        <is>
          <t>Pen 5</t>
        </is>
      </c>
      <c r="B35" s="35" t="inlineStr">
        <is>
          <t>02</t>
        </is>
      </c>
      <c r="C35" s="35" t="inlineStr">
        <is>
          <t>02</t>
        </is>
      </c>
      <c r="D35" s="35" t="inlineStr">
        <is>
          <t>TAG_0002</t>
        </is>
      </c>
      <c r="E35" s="35" t="n">
        <v>1</v>
      </c>
      <c r="F35" s="35" t="inlineStr">
        <is>
          <t>00110</t>
        </is>
      </c>
      <c r="G35" s="35" t="inlineStr">
        <is>
          <t>00110</t>
        </is>
      </c>
      <c r="H35" s="35" t="inlineStr">
        <is>
          <t>Pen 1</t>
        </is>
      </c>
      <c r="I35" s="35" t="inlineStr">
        <is>
          <t>TAG_00110</t>
        </is>
      </c>
      <c r="J35" s="35" t="n">
        <v>0.5</v>
      </c>
      <c r="K35" s="35" t="n">
        <v>0.5</v>
      </c>
      <c r="L35" s="35" t="n">
        <v>0</v>
      </c>
      <c r="M35" s="35" t="inlineStr"/>
      <c r="N35" s="35" t="inlineStr">
        <is>
          <t>Hardiness, Meat, Hair</t>
        </is>
      </c>
    </row>
    <row r="36">
      <c r="A36" s="35" t="inlineStr">
        <is>
          <t>Pen 5</t>
        </is>
      </c>
      <c r="B36" s="35" t="inlineStr">
        <is>
          <t>02</t>
        </is>
      </c>
      <c r="C36" s="35" t="inlineStr">
        <is>
          <t>02</t>
        </is>
      </c>
      <c r="D36" s="35" t="inlineStr">
        <is>
          <t>TAG_0002</t>
        </is>
      </c>
      <c r="E36" s="35" t="n">
        <v>2</v>
      </c>
      <c r="F36" s="35" t="inlineStr">
        <is>
          <t>Twin ram (brown &amp; white)</t>
        </is>
      </c>
      <c r="G36" s="35" t="n"/>
      <c r="H36" s="35" t="inlineStr">
        <is>
          <t>Pen 1</t>
        </is>
      </c>
      <c r="I36" s="35" t="inlineStr">
        <is>
          <t>P1_TWIN_RAM_BROWNWHITE</t>
        </is>
      </c>
      <c r="J36" s="35" t="n">
        <v>0.5</v>
      </c>
      <c r="K36" s="35" t="n">
        <v>0.5</v>
      </c>
      <c r="L36" s="35" t="n">
        <v>0</v>
      </c>
      <c r="M36" s="35" t="inlineStr"/>
      <c r="N36" s="35" t="inlineStr">
        <is>
          <t>Hardiness, Meat, Hair</t>
        </is>
      </c>
    </row>
    <row r="37">
      <c r="A37" s="35" t="inlineStr">
        <is>
          <t>Pen 5</t>
        </is>
      </c>
      <c r="B37" s="35" t="inlineStr">
        <is>
          <t>02</t>
        </is>
      </c>
      <c r="C37" s="35" t="inlineStr">
        <is>
          <t>02</t>
        </is>
      </c>
      <c r="D37" s="35" t="inlineStr">
        <is>
          <t>TAG_0002</t>
        </is>
      </c>
      <c r="E37" s="35" t="n">
        <v>3</v>
      </c>
      <c r="F37" s="35" t="inlineStr">
        <is>
          <t>Twin ram (black &amp; white)</t>
        </is>
      </c>
      <c r="G37" s="35" t="n"/>
      <c r="H37" s="35" t="inlineStr">
        <is>
          <t>Pen 1</t>
        </is>
      </c>
      <c r="I37" s="35" t="inlineStr">
        <is>
          <t>P1_TWIN_RAM_BLACKWHITE</t>
        </is>
      </c>
      <c r="J37" s="35" t="n">
        <v>0.5</v>
      </c>
      <c r="K37" s="35" t="n">
        <v>0.5</v>
      </c>
      <c r="L37" s="35" t="n">
        <v>0</v>
      </c>
      <c r="M37" s="35" t="inlineStr"/>
      <c r="N37" s="35" t="inlineStr">
        <is>
          <t>Hardiness, Meat, Hair</t>
        </is>
      </c>
    </row>
    <row r="38">
      <c r="A38" s="35" t="inlineStr">
        <is>
          <t>Pen 1</t>
        </is>
      </c>
      <c r="B38" s="35" t="inlineStr">
        <is>
          <t>003</t>
        </is>
      </c>
      <c r="C38" s="35" t="inlineStr">
        <is>
          <t>003</t>
        </is>
      </c>
      <c r="D38" s="35" t="inlineStr">
        <is>
          <t>TAG_0003</t>
        </is>
      </c>
      <c r="E38" s="35" t="n">
        <v>1</v>
      </c>
      <c r="F38" s="35" t="inlineStr">
        <is>
          <t>00110</t>
        </is>
      </c>
      <c r="G38" s="35" t="inlineStr">
        <is>
          <t>00110</t>
        </is>
      </c>
      <c r="H38" s="35" t="inlineStr">
        <is>
          <t>Pen 1</t>
        </is>
      </c>
      <c r="I38" s="35" t="inlineStr">
        <is>
          <t>TAG_00110</t>
        </is>
      </c>
      <c r="J38" s="35" t="n">
        <v>0.5</v>
      </c>
      <c r="K38" s="35" t="n">
        <v>0.5</v>
      </c>
      <c r="L38" s="35" t="n">
        <v>0</v>
      </c>
      <c r="M38" s="35" t="inlineStr"/>
      <c r="N38" s="35" t="inlineStr">
        <is>
          <t>Hardiness, Meat, Hair</t>
        </is>
      </c>
    </row>
    <row r="39">
      <c r="A39" s="35" t="inlineStr">
        <is>
          <t>Pen 1</t>
        </is>
      </c>
      <c r="B39" s="35" t="inlineStr">
        <is>
          <t>003</t>
        </is>
      </c>
      <c r="C39" s="35" t="inlineStr">
        <is>
          <t>003</t>
        </is>
      </c>
      <c r="D39" s="35" t="inlineStr">
        <is>
          <t>TAG_0003</t>
        </is>
      </c>
      <c r="E39" s="35" t="n">
        <v>2</v>
      </c>
      <c r="F39" s="35" t="inlineStr">
        <is>
          <t>Twin ram (brown &amp; white)</t>
        </is>
      </c>
      <c r="G39" s="35" t="n"/>
      <c r="H39" s="35" t="inlineStr">
        <is>
          <t>Pen 1</t>
        </is>
      </c>
      <c r="I39" s="35" t="inlineStr">
        <is>
          <t>P1_TWIN_RAM_BROWNWHITE</t>
        </is>
      </c>
      <c r="J39" s="35" t="n">
        <v>0.5</v>
      </c>
      <c r="K39" s="35" t="n">
        <v>0.5</v>
      </c>
      <c r="L39" s="35" t="n">
        <v>0</v>
      </c>
      <c r="M39" s="35" t="inlineStr"/>
      <c r="N39" s="35" t="inlineStr">
        <is>
          <t>Hardiness, Meat, Hair</t>
        </is>
      </c>
    </row>
    <row r="40">
      <c r="A40" s="35" t="inlineStr">
        <is>
          <t>Pen 1</t>
        </is>
      </c>
      <c r="B40" s="35" t="inlineStr">
        <is>
          <t>003</t>
        </is>
      </c>
      <c r="C40" s="35" t="inlineStr">
        <is>
          <t>003</t>
        </is>
      </c>
      <c r="D40" s="35" t="inlineStr">
        <is>
          <t>TAG_0003</t>
        </is>
      </c>
      <c r="E40" s="35" t="n">
        <v>3</v>
      </c>
      <c r="F40" s="35" t="inlineStr">
        <is>
          <t>Twin ram (black &amp; white)</t>
        </is>
      </c>
      <c r="G40" s="35" t="n"/>
      <c r="H40" s="35" t="inlineStr">
        <is>
          <t>Pen 1</t>
        </is>
      </c>
      <c r="I40" s="35" t="inlineStr">
        <is>
          <t>P1_TWIN_RAM_BLACKWHITE</t>
        </is>
      </c>
      <c r="J40" s="35" t="n">
        <v>0.5</v>
      </c>
      <c r="K40" s="35" t="n">
        <v>0.5</v>
      </c>
      <c r="L40" s="35" t="n">
        <v>0</v>
      </c>
      <c r="M40" s="35" t="inlineStr"/>
      <c r="N40" s="35" t="inlineStr">
        <is>
          <t>Hardiness, Meat, Hair</t>
        </is>
      </c>
    </row>
    <row r="41">
      <c r="A41" s="35" t="inlineStr">
        <is>
          <t>Pen 4</t>
        </is>
      </c>
      <c r="B41" s="35" t="inlineStr">
        <is>
          <t>0011</t>
        </is>
      </c>
      <c r="C41" s="35" t="inlineStr">
        <is>
          <t>0011</t>
        </is>
      </c>
      <c r="D41" s="35" t="inlineStr">
        <is>
          <t>TAG_0011</t>
        </is>
      </c>
      <c r="E41" s="35" t="n">
        <v>1</v>
      </c>
      <c r="F41" s="35" t="inlineStr">
        <is>
          <t>00110</t>
        </is>
      </c>
      <c r="G41" s="35" t="inlineStr">
        <is>
          <t>00110</t>
        </is>
      </c>
      <c r="H41" s="35" t="inlineStr">
        <is>
          <t>Pen 1</t>
        </is>
      </c>
      <c r="I41" s="35" t="inlineStr">
        <is>
          <t>TAG_00110</t>
        </is>
      </c>
      <c r="J41" s="35" t="n">
        <v>0.5</v>
      </c>
      <c r="K41" s="35" t="n">
        <v>0.5</v>
      </c>
      <c r="L41" s="35" t="n">
        <v>0</v>
      </c>
      <c r="M41" s="35" t="inlineStr"/>
      <c r="N41" s="35" t="inlineStr">
        <is>
          <t>Hardiness, Meat, Hair</t>
        </is>
      </c>
    </row>
    <row r="42">
      <c r="A42" s="35" t="inlineStr">
        <is>
          <t>Pen 4</t>
        </is>
      </c>
      <c r="B42" s="35" t="inlineStr">
        <is>
          <t>0011</t>
        </is>
      </c>
      <c r="C42" s="35" t="inlineStr">
        <is>
          <t>0011</t>
        </is>
      </c>
      <c r="D42" s="35" t="inlineStr">
        <is>
          <t>TAG_0011</t>
        </is>
      </c>
      <c r="E42" s="35" t="n">
        <v>2</v>
      </c>
      <c r="F42" s="35" t="inlineStr">
        <is>
          <t>Twin ram (brown &amp; white)</t>
        </is>
      </c>
      <c r="G42" s="35" t="n"/>
      <c r="H42" s="35" t="inlineStr">
        <is>
          <t>Pen 1</t>
        </is>
      </c>
      <c r="I42" s="35" t="inlineStr">
        <is>
          <t>P1_TWIN_RAM_BROWNWHITE</t>
        </is>
      </c>
      <c r="J42" s="35" t="n">
        <v>0.5</v>
      </c>
      <c r="K42" s="35" t="n">
        <v>0.5</v>
      </c>
      <c r="L42" s="35" t="n">
        <v>0</v>
      </c>
      <c r="M42" s="35" t="inlineStr"/>
      <c r="N42" s="35" t="inlineStr">
        <is>
          <t>Hardiness, Meat, Hair</t>
        </is>
      </c>
    </row>
    <row r="43">
      <c r="A43" s="35" t="inlineStr">
        <is>
          <t>Pen 4</t>
        </is>
      </c>
      <c r="B43" s="35" t="inlineStr">
        <is>
          <t>0011</t>
        </is>
      </c>
      <c r="C43" s="35" t="inlineStr">
        <is>
          <t>0011</t>
        </is>
      </c>
      <c r="D43" s="35" t="inlineStr">
        <is>
          <t>TAG_0011</t>
        </is>
      </c>
      <c r="E43" s="35" t="n">
        <v>3</v>
      </c>
      <c r="F43" s="35" t="inlineStr">
        <is>
          <t>Twin ram (black &amp; white)</t>
        </is>
      </c>
      <c r="G43" s="35" t="n"/>
      <c r="H43" s="35" t="inlineStr">
        <is>
          <t>Pen 1</t>
        </is>
      </c>
      <c r="I43" s="35" t="inlineStr">
        <is>
          <t>P1_TWIN_RAM_BLACKWHITE</t>
        </is>
      </c>
      <c r="J43" s="35" t="n">
        <v>0.5</v>
      </c>
      <c r="K43" s="35" t="n">
        <v>0.5</v>
      </c>
      <c r="L43" s="35" t="n">
        <v>0</v>
      </c>
      <c r="M43" s="35" t="inlineStr"/>
      <c r="N43" s="35" t="inlineStr">
        <is>
          <t>Hardiness, Meat, Hair</t>
        </is>
      </c>
    </row>
    <row r="44">
      <c r="A44" s="35" t="inlineStr">
        <is>
          <t>Pen 4</t>
        </is>
      </c>
      <c r="B44" s="35" t="inlineStr">
        <is>
          <t>0023</t>
        </is>
      </c>
      <c r="C44" s="35" t="inlineStr">
        <is>
          <t>0023</t>
        </is>
      </c>
      <c r="D44" s="35" t="inlineStr">
        <is>
          <t>TAG_0023</t>
        </is>
      </c>
      <c r="E44" s="35" t="n">
        <v>1</v>
      </c>
      <c r="F44" s="35" t="inlineStr">
        <is>
          <t>00110</t>
        </is>
      </c>
      <c r="G44" s="35" t="inlineStr">
        <is>
          <t>00110</t>
        </is>
      </c>
      <c r="H44" s="35" t="inlineStr">
        <is>
          <t>Pen 1</t>
        </is>
      </c>
      <c r="I44" s="35" t="inlineStr">
        <is>
          <t>TAG_00110</t>
        </is>
      </c>
      <c r="J44" s="35" t="n">
        <v>0.5</v>
      </c>
      <c r="K44" s="35" t="n">
        <v>0.5</v>
      </c>
      <c r="L44" s="35" t="n">
        <v>0</v>
      </c>
      <c r="M44" s="35" t="inlineStr"/>
      <c r="N44" s="35" t="inlineStr">
        <is>
          <t>Hardiness, Meat, Hair</t>
        </is>
      </c>
    </row>
    <row r="45">
      <c r="A45" s="35" t="inlineStr">
        <is>
          <t>Pen 4</t>
        </is>
      </c>
      <c r="B45" s="35" t="inlineStr">
        <is>
          <t>0023</t>
        </is>
      </c>
      <c r="C45" s="35" t="inlineStr">
        <is>
          <t>0023</t>
        </is>
      </c>
      <c r="D45" s="35" t="inlineStr">
        <is>
          <t>TAG_0023</t>
        </is>
      </c>
      <c r="E45" s="35" t="n">
        <v>2</v>
      </c>
      <c r="F45" s="35" t="inlineStr">
        <is>
          <t>Twin ram (brown &amp; white)</t>
        </is>
      </c>
      <c r="G45" s="35" t="n"/>
      <c r="H45" s="35" t="inlineStr">
        <is>
          <t>Pen 1</t>
        </is>
      </c>
      <c r="I45" s="35" t="inlineStr">
        <is>
          <t>P1_TWIN_RAM_BROWNWHITE</t>
        </is>
      </c>
      <c r="J45" s="35" t="n">
        <v>0.5</v>
      </c>
      <c r="K45" s="35" t="n">
        <v>0.5</v>
      </c>
      <c r="L45" s="35" t="n">
        <v>0</v>
      </c>
      <c r="M45" s="35" t="inlineStr"/>
      <c r="N45" s="35" t="inlineStr">
        <is>
          <t>Hardiness, Meat, Hair</t>
        </is>
      </c>
    </row>
    <row r="46">
      <c r="A46" s="35" t="inlineStr">
        <is>
          <t>Pen 4</t>
        </is>
      </c>
      <c r="B46" s="35" t="inlineStr">
        <is>
          <t>0023</t>
        </is>
      </c>
      <c r="C46" s="35" t="inlineStr">
        <is>
          <t>0023</t>
        </is>
      </c>
      <c r="D46" s="35" t="inlineStr">
        <is>
          <t>TAG_0023</t>
        </is>
      </c>
      <c r="E46" s="35" t="n">
        <v>3</v>
      </c>
      <c r="F46" s="35" t="inlineStr">
        <is>
          <t>Twin ram (black &amp; white)</t>
        </is>
      </c>
      <c r="G46" s="35" t="n"/>
      <c r="H46" s="35" t="inlineStr">
        <is>
          <t>Pen 1</t>
        </is>
      </c>
      <c r="I46" s="35" t="inlineStr">
        <is>
          <t>P1_TWIN_RAM_BLACKWHITE</t>
        </is>
      </c>
      <c r="J46" s="35" t="n">
        <v>0.5</v>
      </c>
      <c r="K46" s="35" t="n">
        <v>0.5</v>
      </c>
      <c r="L46" s="35" t="n">
        <v>0</v>
      </c>
      <c r="M46" s="35" t="inlineStr"/>
      <c r="N46" s="35" t="inlineStr">
        <is>
          <t>Hardiness, Meat, Hair</t>
        </is>
      </c>
    </row>
    <row r="47">
      <c r="A47" s="35" t="inlineStr">
        <is>
          <t>Pen 5</t>
        </is>
      </c>
      <c r="B47" s="35" t="inlineStr">
        <is>
          <t>31</t>
        </is>
      </c>
      <c r="C47" s="35" t="inlineStr">
        <is>
          <t>31</t>
        </is>
      </c>
      <c r="D47" s="35" t="inlineStr">
        <is>
          <t>TAG_0031</t>
        </is>
      </c>
      <c r="E47" s="35" t="n">
        <v>1</v>
      </c>
      <c r="F47" s="35" t="inlineStr">
        <is>
          <t>00110</t>
        </is>
      </c>
      <c r="G47" s="35" t="inlineStr">
        <is>
          <t>00110</t>
        </is>
      </c>
      <c r="H47" s="35" t="inlineStr">
        <is>
          <t>Pen 1</t>
        </is>
      </c>
      <c r="I47" s="35" t="inlineStr">
        <is>
          <t>TAG_00110</t>
        </is>
      </c>
      <c r="J47" s="35" t="n">
        <v>0.5</v>
      </c>
      <c r="K47" s="35" t="n">
        <v>0.5</v>
      </c>
      <c r="L47" s="35" t="n">
        <v>0</v>
      </c>
      <c r="M47" s="35" t="inlineStr"/>
      <c r="N47" s="35" t="inlineStr">
        <is>
          <t>Hardiness, Meat, Hair</t>
        </is>
      </c>
    </row>
    <row r="48">
      <c r="A48" s="35" t="inlineStr">
        <is>
          <t>Pen 5</t>
        </is>
      </c>
      <c r="B48" s="35" t="inlineStr">
        <is>
          <t>31</t>
        </is>
      </c>
      <c r="C48" s="35" t="inlineStr">
        <is>
          <t>31</t>
        </is>
      </c>
      <c r="D48" s="35" t="inlineStr">
        <is>
          <t>TAG_0031</t>
        </is>
      </c>
      <c r="E48" s="35" t="n">
        <v>2</v>
      </c>
      <c r="F48" s="35" t="inlineStr">
        <is>
          <t>Twin ram (brown &amp; white)</t>
        </is>
      </c>
      <c r="G48" s="35" t="n"/>
      <c r="H48" s="35" t="inlineStr">
        <is>
          <t>Pen 1</t>
        </is>
      </c>
      <c r="I48" s="35" t="inlineStr">
        <is>
          <t>P1_TWIN_RAM_BROWNWHITE</t>
        </is>
      </c>
      <c r="J48" s="35" t="n">
        <v>0.5</v>
      </c>
      <c r="K48" s="35" t="n">
        <v>0.5</v>
      </c>
      <c r="L48" s="35" t="n">
        <v>0</v>
      </c>
      <c r="M48" s="35" t="inlineStr"/>
      <c r="N48" s="35" t="inlineStr">
        <is>
          <t>Hardiness, Meat, Hair</t>
        </is>
      </c>
    </row>
    <row r="49">
      <c r="A49" s="35" t="inlineStr">
        <is>
          <t>Pen 5</t>
        </is>
      </c>
      <c r="B49" s="35" t="inlineStr">
        <is>
          <t>31</t>
        </is>
      </c>
      <c r="C49" s="35" t="inlineStr">
        <is>
          <t>31</t>
        </is>
      </c>
      <c r="D49" s="35" t="inlineStr">
        <is>
          <t>TAG_0031</t>
        </is>
      </c>
      <c r="E49" s="35" t="n">
        <v>3</v>
      </c>
      <c r="F49" s="35" t="inlineStr">
        <is>
          <t>Twin ram (black &amp; white)</t>
        </is>
      </c>
      <c r="G49" s="35" t="n"/>
      <c r="H49" s="35" t="inlineStr">
        <is>
          <t>Pen 1</t>
        </is>
      </c>
      <c r="I49" s="35" t="inlineStr">
        <is>
          <t>P1_TWIN_RAM_BLACKWHITE</t>
        </is>
      </c>
      <c r="J49" s="35" t="n">
        <v>0.5</v>
      </c>
      <c r="K49" s="35" t="n">
        <v>0.5</v>
      </c>
      <c r="L49" s="35" t="n">
        <v>0</v>
      </c>
      <c r="M49" s="35" t="inlineStr"/>
      <c r="N49" s="35" t="inlineStr">
        <is>
          <t>Hardiness, Meat, Hair</t>
        </is>
      </c>
    </row>
    <row r="50">
      <c r="A50" s="35" t="inlineStr">
        <is>
          <t>Tree Fort</t>
        </is>
      </c>
      <c r="B50" s="35" t="inlineStr">
        <is>
          <t>0035</t>
        </is>
      </c>
      <c r="C50" s="35" t="inlineStr">
        <is>
          <t>0035</t>
        </is>
      </c>
      <c r="D50" s="35" t="inlineStr">
        <is>
          <t>TAG_0035</t>
        </is>
      </c>
      <c r="E50" s="35" t="n">
        <v>1</v>
      </c>
      <c r="F50" s="35" t="inlineStr">
        <is>
          <t>00110</t>
        </is>
      </c>
      <c r="G50" s="35" t="inlineStr">
        <is>
          <t>00110</t>
        </is>
      </c>
      <c r="H50" s="35" t="inlineStr">
        <is>
          <t>Pen 1</t>
        </is>
      </c>
      <c r="I50" s="35" t="inlineStr">
        <is>
          <t>TAG_00110</t>
        </is>
      </c>
      <c r="J50" s="35" t="n">
        <v>0.5</v>
      </c>
      <c r="K50" s="35" t="n">
        <v>0.5</v>
      </c>
      <c r="L50" s="35" t="n">
        <v>0</v>
      </c>
      <c r="M50" s="35" t="inlineStr"/>
      <c r="N50" s="35" t="inlineStr">
        <is>
          <t>Hardiness, Meat, Hair</t>
        </is>
      </c>
    </row>
    <row r="51">
      <c r="A51" s="35" t="inlineStr">
        <is>
          <t>Tree Fort</t>
        </is>
      </c>
      <c r="B51" s="35" t="inlineStr">
        <is>
          <t>0035</t>
        </is>
      </c>
      <c r="C51" s="35" t="inlineStr">
        <is>
          <t>0035</t>
        </is>
      </c>
      <c r="D51" s="35" t="inlineStr">
        <is>
          <t>TAG_0035</t>
        </is>
      </c>
      <c r="E51" s="35" t="n">
        <v>2</v>
      </c>
      <c r="F51" s="35" t="inlineStr">
        <is>
          <t>Twin ram (brown &amp; white)</t>
        </is>
      </c>
      <c r="G51" s="35" t="n"/>
      <c r="H51" s="35" t="inlineStr">
        <is>
          <t>Pen 1</t>
        </is>
      </c>
      <c r="I51" s="35" t="inlineStr">
        <is>
          <t>P1_TWIN_RAM_BROWNWHITE</t>
        </is>
      </c>
      <c r="J51" s="35" t="n">
        <v>0.5</v>
      </c>
      <c r="K51" s="35" t="n">
        <v>0.5</v>
      </c>
      <c r="L51" s="35" t="n">
        <v>0</v>
      </c>
      <c r="M51" s="35" t="inlineStr"/>
      <c r="N51" s="35" t="inlineStr">
        <is>
          <t>Hardiness, Meat, Hair</t>
        </is>
      </c>
    </row>
    <row r="52">
      <c r="A52" s="35" t="inlineStr">
        <is>
          <t>Tree Fort</t>
        </is>
      </c>
      <c r="B52" s="35" t="inlineStr">
        <is>
          <t>0035</t>
        </is>
      </c>
      <c r="C52" s="35" t="inlineStr">
        <is>
          <t>0035</t>
        </is>
      </c>
      <c r="D52" s="35" t="inlineStr">
        <is>
          <t>TAG_0035</t>
        </is>
      </c>
      <c r="E52" s="35" t="n">
        <v>3</v>
      </c>
      <c r="F52" s="35" t="inlineStr">
        <is>
          <t>Twin ram (black &amp; white)</t>
        </is>
      </c>
      <c r="G52" s="35" t="n"/>
      <c r="H52" s="35" t="inlineStr">
        <is>
          <t>Pen 1</t>
        </is>
      </c>
      <c r="I52" s="35" t="inlineStr">
        <is>
          <t>P1_TWIN_RAM_BLACKWHITE</t>
        </is>
      </c>
      <c r="J52" s="35" t="n">
        <v>0.5</v>
      </c>
      <c r="K52" s="35" t="n">
        <v>0.5</v>
      </c>
      <c r="L52" s="35" t="n">
        <v>0</v>
      </c>
      <c r="M52" s="35" t="inlineStr"/>
      <c r="N52" s="35" t="inlineStr">
        <is>
          <t>Hardiness, Meat, Hair</t>
        </is>
      </c>
    </row>
    <row r="53">
      <c r="A53" s="35" t="inlineStr">
        <is>
          <t>Tree Fort</t>
        </is>
      </c>
      <c r="B53" s="35" t="inlineStr">
        <is>
          <t>35</t>
        </is>
      </c>
      <c r="C53" s="35" t="inlineStr">
        <is>
          <t>35</t>
        </is>
      </c>
      <c r="D53" s="35" t="inlineStr">
        <is>
          <t>TAG_0035B</t>
        </is>
      </c>
      <c r="E53" s="35" t="n">
        <v>1</v>
      </c>
      <c r="F53" s="35" t="inlineStr">
        <is>
          <t>00110</t>
        </is>
      </c>
      <c r="G53" s="35" t="inlineStr">
        <is>
          <t>00110</t>
        </is>
      </c>
      <c r="H53" s="35" t="inlineStr">
        <is>
          <t>Pen 1</t>
        </is>
      </c>
      <c r="I53" s="35" t="inlineStr">
        <is>
          <t>TAG_00110</t>
        </is>
      </c>
      <c r="J53" s="35" t="n">
        <v>0.5</v>
      </c>
      <c r="K53" s="35" t="n">
        <v>0.5</v>
      </c>
      <c r="L53" s="35" t="n">
        <v>0</v>
      </c>
      <c r="M53" s="35" t="inlineStr"/>
      <c r="N53" s="35" t="inlineStr">
        <is>
          <t>Hardiness, Meat, Hair</t>
        </is>
      </c>
    </row>
    <row r="54">
      <c r="A54" s="35" t="inlineStr">
        <is>
          <t>Tree Fort</t>
        </is>
      </c>
      <c r="B54" s="35" t="inlineStr">
        <is>
          <t>35</t>
        </is>
      </c>
      <c r="C54" s="35" t="inlineStr">
        <is>
          <t>35</t>
        </is>
      </c>
      <c r="D54" s="35" t="inlineStr">
        <is>
          <t>TAG_0035B</t>
        </is>
      </c>
      <c r="E54" s="35" t="n">
        <v>2</v>
      </c>
      <c r="F54" s="35" t="inlineStr">
        <is>
          <t>Twin ram (brown &amp; white)</t>
        </is>
      </c>
      <c r="G54" s="35" t="n"/>
      <c r="H54" s="35" t="inlineStr">
        <is>
          <t>Pen 1</t>
        </is>
      </c>
      <c r="I54" s="35" t="inlineStr">
        <is>
          <t>P1_TWIN_RAM_BROWNWHITE</t>
        </is>
      </c>
      <c r="J54" s="35" t="n">
        <v>0.5</v>
      </c>
      <c r="K54" s="35" t="n">
        <v>0.5</v>
      </c>
      <c r="L54" s="35" t="n">
        <v>0</v>
      </c>
      <c r="M54" s="35" t="inlineStr"/>
      <c r="N54" s="35" t="inlineStr">
        <is>
          <t>Hardiness, Meat, Hair</t>
        </is>
      </c>
    </row>
    <row r="55">
      <c r="A55" s="35" t="inlineStr">
        <is>
          <t>Tree Fort</t>
        </is>
      </c>
      <c r="B55" s="35" t="inlineStr">
        <is>
          <t>35</t>
        </is>
      </c>
      <c r="C55" s="35" t="inlineStr">
        <is>
          <t>35</t>
        </is>
      </c>
      <c r="D55" s="35" t="inlineStr">
        <is>
          <t>TAG_0035B</t>
        </is>
      </c>
      <c r="E55" s="35" t="n">
        <v>3</v>
      </c>
      <c r="F55" s="35" t="inlineStr">
        <is>
          <t>Twin ram (black &amp; white)</t>
        </is>
      </c>
      <c r="G55" s="35" t="n"/>
      <c r="H55" s="35" t="inlineStr">
        <is>
          <t>Pen 1</t>
        </is>
      </c>
      <c r="I55" s="35" t="inlineStr">
        <is>
          <t>P1_TWIN_RAM_BLACKWHITE</t>
        </is>
      </c>
      <c r="J55" s="35" t="n">
        <v>0.5</v>
      </c>
      <c r="K55" s="35" t="n">
        <v>0.5</v>
      </c>
      <c r="L55" s="35" t="n">
        <v>0</v>
      </c>
      <c r="M55" s="35" t="inlineStr"/>
      <c r="N55" s="35" t="inlineStr">
        <is>
          <t>Hardiness, Meat, Hair</t>
        </is>
      </c>
    </row>
    <row r="56">
      <c r="A56" s="35" t="inlineStr">
        <is>
          <t>Pen 1</t>
        </is>
      </c>
      <c r="B56" s="35" t="inlineStr">
        <is>
          <t>0044</t>
        </is>
      </c>
      <c r="C56" s="35" t="inlineStr">
        <is>
          <t>0044</t>
        </is>
      </c>
      <c r="D56" s="35" t="inlineStr">
        <is>
          <t>TAG_0044</t>
        </is>
      </c>
      <c r="E56" s="35" t="n">
        <v>1</v>
      </c>
      <c r="F56" s="35" t="inlineStr">
        <is>
          <t>00110</t>
        </is>
      </c>
      <c r="G56" s="35" t="inlineStr">
        <is>
          <t>00110</t>
        </is>
      </c>
      <c r="H56" s="35" t="inlineStr">
        <is>
          <t>Pen 1</t>
        </is>
      </c>
      <c r="I56" s="35" t="inlineStr">
        <is>
          <t>TAG_00110</t>
        </is>
      </c>
      <c r="J56" s="35" t="n">
        <v>0.5</v>
      </c>
      <c r="K56" s="35" t="n">
        <v>0.5</v>
      </c>
      <c r="L56" s="35" t="n">
        <v>0</v>
      </c>
      <c r="M56" s="35" t="inlineStr"/>
      <c r="N56" s="35" t="inlineStr">
        <is>
          <t>Hardiness, Meat, Hair</t>
        </is>
      </c>
    </row>
    <row r="57">
      <c r="A57" s="35" t="inlineStr">
        <is>
          <t>Pen 1</t>
        </is>
      </c>
      <c r="B57" s="35" t="inlineStr">
        <is>
          <t>0044</t>
        </is>
      </c>
      <c r="C57" s="35" t="inlineStr">
        <is>
          <t>0044</t>
        </is>
      </c>
      <c r="D57" s="35" t="inlineStr">
        <is>
          <t>TAG_0044</t>
        </is>
      </c>
      <c r="E57" s="35" t="n">
        <v>2</v>
      </c>
      <c r="F57" s="35" t="inlineStr">
        <is>
          <t>Twin ram (brown &amp; white)</t>
        </is>
      </c>
      <c r="G57" s="35" t="n"/>
      <c r="H57" s="35" t="inlineStr">
        <is>
          <t>Pen 1</t>
        </is>
      </c>
      <c r="I57" s="35" t="inlineStr">
        <is>
          <t>P1_TWIN_RAM_BROWNWHITE</t>
        </is>
      </c>
      <c r="J57" s="35" t="n">
        <v>0.5</v>
      </c>
      <c r="K57" s="35" t="n">
        <v>0.5</v>
      </c>
      <c r="L57" s="35" t="n">
        <v>0</v>
      </c>
      <c r="M57" s="35" t="inlineStr"/>
      <c r="N57" s="35" t="inlineStr">
        <is>
          <t>Hardiness, Meat, Hair</t>
        </is>
      </c>
    </row>
    <row r="58">
      <c r="A58" s="35" t="inlineStr">
        <is>
          <t>Pen 1</t>
        </is>
      </c>
      <c r="B58" s="35" t="inlineStr">
        <is>
          <t>0044</t>
        </is>
      </c>
      <c r="C58" s="35" t="inlineStr">
        <is>
          <t>0044</t>
        </is>
      </c>
      <c r="D58" s="35" t="inlineStr">
        <is>
          <t>TAG_0044</t>
        </is>
      </c>
      <c r="E58" s="35" t="n">
        <v>3</v>
      </c>
      <c r="F58" s="35" t="inlineStr">
        <is>
          <t>Twin ram (black &amp; white)</t>
        </is>
      </c>
      <c r="G58" s="35" t="n"/>
      <c r="H58" s="35" t="inlineStr">
        <is>
          <t>Pen 1</t>
        </is>
      </c>
      <c r="I58" s="35" t="inlineStr">
        <is>
          <t>P1_TWIN_RAM_BLACKWHITE</t>
        </is>
      </c>
      <c r="J58" s="35" t="n">
        <v>0.5</v>
      </c>
      <c r="K58" s="35" t="n">
        <v>0.5</v>
      </c>
      <c r="L58" s="35" t="n">
        <v>0</v>
      </c>
      <c r="M58" s="35" t="inlineStr"/>
      <c r="N58" s="35" t="inlineStr">
        <is>
          <t>Hardiness, Meat, Hair</t>
        </is>
      </c>
    </row>
    <row r="59">
      <c r="A59" s="35" t="inlineStr">
        <is>
          <t>Goose Pen</t>
        </is>
      </c>
      <c r="B59" s="35" t="inlineStr">
        <is>
          <t>49</t>
        </is>
      </c>
      <c r="C59" s="35" t="inlineStr">
        <is>
          <t>49</t>
        </is>
      </c>
      <c r="D59" s="35" t="inlineStr">
        <is>
          <t>TAG_0049</t>
        </is>
      </c>
      <c r="E59" s="35" t="n">
        <v>1</v>
      </c>
      <c r="F59" s="35" t="inlineStr">
        <is>
          <t>00110</t>
        </is>
      </c>
      <c r="G59" s="35" t="inlineStr">
        <is>
          <t>00110</t>
        </is>
      </c>
      <c r="H59" s="35" t="inlineStr">
        <is>
          <t>Pen 1</t>
        </is>
      </c>
      <c r="I59" s="35" t="inlineStr">
        <is>
          <t>TAG_00110</t>
        </is>
      </c>
      <c r="J59" s="35" t="n">
        <v>0.5</v>
      </c>
      <c r="K59" s="35" t="n">
        <v>0.5</v>
      </c>
      <c r="L59" s="35" t="n">
        <v>0</v>
      </c>
      <c r="M59" s="35" t="inlineStr"/>
      <c r="N59" s="35" t="inlineStr">
        <is>
          <t>Hardiness, Meat, Hair</t>
        </is>
      </c>
    </row>
    <row r="60">
      <c r="A60" s="35" t="inlineStr">
        <is>
          <t>Goose Pen</t>
        </is>
      </c>
      <c r="B60" s="35" t="inlineStr">
        <is>
          <t>49</t>
        </is>
      </c>
      <c r="C60" s="35" t="inlineStr">
        <is>
          <t>49</t>
        </is>
      </c>
      <c r="D60" s="35" t="inlineStr">
        <is>
          <t>TAG_0049</t>
        </is>
      </c>
      <c r="E60" s="35" t="n">
        <v>2</v>
      </c>
      <c r="F60" s="35" t="inlineStr">
        <is>
          <t>Twin ram (brown &amp; white)</t>
        </is>
      </c>
      <c r="G60" s="35" t="n"/>
      <c r="H60" s="35" t="inlineStr">
        <is>
          <t>Pen 1</t>
        </is>
      </c>
      <c r="I60" s="35" t="inlineStr">
        <is>
          <t>P1_TWIN_RAM_BROWNWHITE</t>
        </is>
      </c>
      <c r="J60" s="35" t="n">
        <v>0.5</v>
      </c>
      <c r="K60" s="35" t="n">
        <v>0.5</v>
      </c>
      <c r="L60" s="35" t="n">
        <v>0</v>
      </c>
      <c r="M60" s="35" t="inlineStr"/>
      <c r="N60" s="35" t="inlineStr">
        <is>
          <t>Hardiness, Meat, Hair</t>
        </is>
      </c>
    </row>
    <row r="61">
      <c r="A61" s="35" t="inlineStr">
        <is>
          <t>Goose Pen</t>
        </is>
      </c>
      <c r="B61" s="35" t="inlineStr">
        <is>
          <t>49</t>
        </is>
      </c>
      <c r="C61" s="35" t="inlineStr">
        <is>
          <t>49</t>
        </is>
      </c>
      <c r="D61" s="35" t="inlineStr">
        <is>
          <t>TAG_0049</t>
        </is>
      </c>
      <c r="E61" s="35" t="n">
        <v>3</v>
      </c>
      <c r="F61" s="35" t="inlineStr">
        <is>
          <t>Twin ram (black &amp; white)</t>
        </is>
      </c>
      <c r="G61" s="35" t="n"/>
      <c r="H61" s="35" t="inlineStr">
        <is>
          <t>Pen 1</t>
        </is>
      </c>
      <c r="I61" s="35" t="inlineStr">
        <is>
          <t>P1_TWIN_RAM_BLACKWHITE</t>
        </is>
      </c>
      <c r="J61" s="35" t="n">
        <v>0.5</v>
      </c>
      <c r="K61" s="35" t="n">
        <v>0.5</v>
      </c>
      <c r="L61" s="35" t="n">
        <v>0</v>
      </c>
      <c r="M61" s="35" t="inlineStr"/>
      <c r="N61" s="35" t="inlineStr">
        <is>
          <t>Hardiness, Meat, Hair</t>
        </is>
      </c>
    </row>
    <row r="62">
      <c r="A62" s="35" t="inlineStr">
        <is>
          <t>Goose Pen</t>
        </is>
      </c>
      <c r="B62" s="35" t="inlineStr">
        <is>
          <t>50</t>
        </is>
      </c>
      <c r="C62" s="35" t="inlineStr">
        <is>
          <t>50</t>
        </is>
      </c>
      <c r="D62" s="35" t="inlineStr">
        <is>
          <t>TAG_0050</t>
        </is>
      </c>
      <c r="E62" s="35" t="n">
        <v>1</v>
      </c>
      <c r="F62" s="35" t="inlineStr">
        <is>
          <t>00110</t>
        </is>
      </c>
      <c r="G62" s="35" t="inlineStr">
        <is>
          <t>00110</t>
        </is>
      </c>
      <c r="H62" s="35" t="inlineStr">
        <is>
          <t>Pen 1</t>
        </is>
      </c>
      <c r="I62" s="35" t="inlineStr">
        <is>
          <t>TAG_00110</t>
        </is>
      </c>
      <c r="J62" s="35" t="n">
        <v>0.5</v>
      </c>
      <c r="K62" s="35" t="n">
        <v>0.5</v>
      </c>
      <c r="L62" s="35" t="n">
        <v>0</v>
      </c>
      <c r="M62" s="35" t="inlineStr"/>
      <c r="N62" s="35" t="inlineStr">
        <is>
          <t>Hardiness, Meat, Hair</t>
        </is>
      </c>
    </row>
    <row r="63">
      <c r="A63" s="35" t="inlineStr">
        <is>
          <t>Goose Pen</t>
        </is>
      </c>
      <c r="B63" s="35" t="inlineStr">
        <is>
          <t>50</t>
        </is>
      </c>
      <c r="C63" s="35" t="inlineStr">
        <is>
          <t>50</t>
        </is>
      </c>
      <c r="D63" s="35" t="inlineStr">
        <is>
          <t>TAG_0050</t>
        </is>
      </c>
      <c r="E63" s="35" t="n">
        <v>2</v>
      </c>
      <c r="F63" s="35" t="inlineStr">
        <is>
          <t>Twin ram (brown &amp; white)</t>
        </is>
      </c>
      <c r="G63" s="35" t="n"/>
      <c r="H63" s="35" t="inlineStr">
        <is>
          <t>Pen 1</t>
        </is>
      </c>
      <c r="I63" s="35" t="inlineStr">
        <is>
          <t>P1_TWIN_RAM_BROWNWHITE</t>
        </is>
      </c>
      <c r="J63" s="35" t="n">
        <v>0.5</v>
      </c>
      <c r="K63" s="35" t="n">
        <v>0.5</v>
      </c>
      <c r="L63" s="35" t="n">
        <v>0</v>
      </c>
      <c r="M63" s="35" t="inlineStr"/>
      <c r="N63" s="35" t="inlineStr">
        <is>
          <t>Hardiness, Meat, Hair</t>
        </is>
      </c>
    </row>
    <row r="64">
      <c r="A64" s="35" t="inlineStr">
        <is>
          <t>Goose Pen</t>
        </is>
      </c>
      <c r="B64" s="35" t="inlineStr">
        <is>
          <t>50</t>
        </is>
      </c>
      <c r="C64" s="35" t="inlineStr">
        <is>
          <t>50</t>
        </is>
      </c>
      <c r="D64" s="35" t="inlineStr">
        <is>
          <t>TAG_0050</t>
        </is>
      </c>
      <c r="E64" s="35" t="n">
        <v>3</v>
      </c>
      <c r="F64" s="35" t="inlineStr">
        <is>
          <t>Twin ram (black &amp; white)</t>
        </is>
      </c>
      <c r="G64" s="35" t="n"/>
      <c r="H64" s="35" t="inlineStr">
        <is>
          <t>Pen 1</t>
        </is>
      </c>
      <c r="I64" s="35" t="inlineStr">
        <is>
          <t>P1_TWIN_RAM_BLACKWHITE</t>
        </is>
      </c>
      <c r="J64" s="35" t="n">
        <v>0.5</v>
      </c>
      <c r="K64" s="35" t="n">
        <v>0.5</v>
      </c>
      <c r="L64" s="35" t="n">
        <v>0</v>
      </c>
      <c r="M64" s="35" t="inlineStr"/>
      <c r="N64" s="35" t="inlineStr">
        <is>
          <t>Hardiness, Meat, Hair</t>
        </is>
      </c>
    </row>
    <row r="65">
      <c r="A65" s="35" t="inlineStr">
        <is>
          <t>Pen 4</t>
        </is>
      </c>
      <c r="B65" s="35" t="inlineStr">
        <is>
          <t>0051</t>
        </is>
      </c>
      <c r="C65" s="35" t="inlineStr">
        <is>
          <t>0051</t>
        </is>
      </c>
      <c r="D65" s="35" t="inlineStr">
        <is>
          <t>TAG_0051</t>
        </is>
      </c>
      <c r="E65" s="35" t="n">
        <v>1</v>
      </c>
      <c r="F65" s="35" t="inlineStr">
        <is>
          <t>00110</t>
        </is>
      </c>
      <c r="G65" s="35" t="inlineStr">
        <is>
          <t>00110</t>
        </is>
      </c>
      <c r="H65" s="35" t="inlineStr">
        <is>
          <t>Pen 1</t>
        </is>
      </c>
      <c r="I65" s="35" t="inlineStr">
        <is>
          <t>TAG_00110</t>
        </is>
      </c>
      <c r="J65" s="35" t="n">
        <v>0.5</v>
      </c>
      <c r="K65" s="35" t="n">
        <v>0.5</v>
      </c>
      <c r="L65" s="35" t="n">
        <v>0</v>
      </c>
      <c r="M65" s="35" t="inlineStr"/>
      <c r="N65" s="35" t="inlineStr">
        <is>
          <t>Hardiness, Meat, Hair</t>
        </is>
      </c>
    </row>
    <row r="66">
      <c r="A66" s="35" t="inlineStr">
        <is>
          <t>Pen 4</t>
        </is>
      </c>
      <c r="B66" s="35" t="inlineStr">
        <is>
          <t>0051</t>
        </is>
      </c>
      <c r="C66" s="35" t="inlineStr">
        <is>
          <t>0051</t>
        </is>
      </c>
      <c r="D66" s="35" t="inlineStr">
        <is>
          <t>TAG_0051</t>
        </is>
      </c>
      <c r="E66" s="35" t="n">
        <v>2</v>
      </c>
      <c r="F66" s="35" t="inlineStr">
        <is>
          <t>Twin ram (brown &amp; white)</t>
        </is>
      </c>
      <c r="G66" s="35" t="n"/>
      <c r="H66" s="35" t="inlineStr">
        <is>
          <t>Pen 1</t>
        </is>
      </c>
      <c r="I66" s="35" t="inlineStr">
        <is>
          <t>P1_TWIN_RAM_BROWNWHITE</t>
        </is>
      </c>
      <c r="J66" s="35" t="n">
        <v>0.5</v>
      </c>
      <c r="K66" s="35" t="n">
        <v>0.5</v>
      </c>
      <c r="L66" s="35" t="n">
        <v>0</v>
      </c>
      <c r="M66" s="35" t="inlineStr"/>
      <c r="N66" s="35" t="inlineStr">
        <is>
          <t>Hardiness, Meat, Hair</t>
        </is>
      </c>
    </row>
    <row r="67">
      <c r="A67" s="35" t="inlineStr">
        <is>
          <t>Pen 4</t>
        </is>
      </c>
      <c r="B67" s="35" t="inlineStr">
        <is>
          <t>0051</t>
        </is>
      </c>
      <c r="C67" s="35" t="inlineStr">
        <is>
          <t>0051</t>
        </is>
      </c>
      <c r="D67" s="35" t="inlineStr">
        <is>
          <t>TAG_0051</t>
        </is>
      </c>
      <c r="E67" s="35" t="n">
        <v>3</v>
      </c>
      <c r="F67" s="35" t="inlineStr">
        <is>
          <t>Twin ram (black &amp; white)</t>
        </is>
      </c>
      <c r="G67" s="35" t="n"/>
      <c r="H67" s="35" t="inlineStr">
        <is>
          <t>Pen 1</t>
        </is>
      </c>
      <c r="I67" s="35" t="inlineStr">
        <is>
          <t>P1_TWIN_RAM_BLACKWHITE</t>
        </is>
      </c>
      <c r="J67" s="35" t="n">
        <v>0.5</v>
      </c>
      <c r="K67" s="35" t="n">
        <v>0.5</v>
      </c>
      <c r="L67" s="35" t="n">
        <v>0</v>
      </c>
      <c r="M67" s="35" t="inlineStr"/>
      <c r="N67" s="35" t="inlineStr">
        <is>
          <t>Hardiness, Meat, Hair</t>
        </is>
      </c>
    </row>
    <row r="68">
      <c r="A68" s="35" t="inlineStr">
        <is>
          <t>Pen 2</t>
        </is>
      </c>
      <c r="B68" s="35" t="inlineStr">
        <is>
          <t>0053</t>
        </is>
      </c>
      <c r="C68" s="35" t="inlineStr">
        <is>
          <t>0053</t>
        </is>
      </c>
      <c r="D68" s="35" t="inlineStr">
        <is>
          <t>TAG_0053</t>
        </is>
      </c>
      <c r="E68" s="35" t="n">
        <v>1</v>
      </c>
      <c r="F68" s="35" t="inlineStr">
        <is>
          <t>00110</t>
        </is>
      </c>
      <c r="G68" s="35" t="inlineStr">
        <is>
          <t>00110</t>
        </is>
      </c>
      <c r="H68" s="35" t="inlineStr">
        <is>
          <t>Pen 1</t>
        </is>
      </c>
      <c r="I68" s="35" t="inlineStr">
        <is>
          <t>TAG_00110</t>
        </is>
      </c>
      <c r="J68" s="35" t="n">
        <v>0.5</v>
      </c>
      <c r="K68" s="35" t="n">
        <v>0.5</v>
      </c>
      <c r="L68" s="35" t="n">
        <v>0</v>
      </c>
      <c r="M68" s="35" t="inlineStr"/>
      <c r="N68" s="35" t="inlineStr">
        <is>
          <t>Hardiness, Meat, Hair</t>
        </is>
      </c>
    </row>
    <row r="69">
      <c r="A69" s="35" t="inlineStr">
        <is>
          <t>Pen 2</t>
        </is>
      </c>
      <c r="B69" s="35" t="inlineStr">
        <is>
          <t>0053</t>
        </is>
      </c>
      <c r="C69" s="35" t="inlineStr">
        <is>
          <t>0053</t>
        </is>
      </c>
      <c r="D69" s="35" t="inlineStr">
        <is>
          <t>TAG_0053</t>
        </is>
      </c>
      <c r="E69" s="35" t="n">
        <v>2</v>
      </c>
      <c r="F69" s="35" t="inlineStr">
        <is>
          <t>Twin ram (brown &amp; white)</t>
        </is>
      </c>
      <c r="G69" s="35" t="n"/>
      <c r="H69" s="35" t="inlineStr">
        <is>
          <t>Pen 1</t>
        </is>
      </c>
      <c r="I69" s="35" t="inlineStr">
        <is>
          <t>P1_TWIN_RAM_BROWNWHITE</t>
        </is>
      </c>
      <c r="J69" s="35" t="n">
        <v>0.5</v>
      </c>
      <c r="K69" s="35" t="n">
        <v>0.5</v>
      </c>
      <c r="L69" s="35" t="n">
        <v>0</v>
      </c>
      <c r="M69" s="35" t="inlineStr"/>
      <c r="N69" s="35" t="inlineStr">
        <is>
          <t>Hardiness, Meat, Hair</t>
        </is>
      </c>
    </row>
    <row r="70">
      <c r="A70" s="35" t="inlineStr">
        <is>
          <t>Pen 2</t>
        </is>
      </c>
      <c r="B70" s="35" t="inlineStr">
        <is>
          <t>0053</t>
        </is>
      </c>
      <c r="C70" s="35" t="inlineStr">
        <is>
          <t>0053</t>
        </is>
      </c>
      <c r="D70" s="35" t="inlineStr">
        <is>
          <t>TAG_0053</t>
        </is>
      </c>
      <c r="E70" s="35" t="n">
        <v>3</v>
      </c>
      <c r="F70" s="35" t="inlineStr">
        <is>
          <t>Twin ram (black &amp; white)</t>
        </is>
      </c>
      <c r="G70" s="35" t="n"/>
      <c r="H70" s="35" t="inlineStr">
        <is>
          <t>Pen 1</t>
        </is>
      </c>
      <c r="I70" s="35" t="inlineStr">
        <is>
          <t>P1_TWIN_RAM_BLACKWHITE</t>
        </is>
      </c>
      <c r="J70" s="35" t="n">
        <v>0.5</v>
      </c>
      <c r="K70" s="35" t="n">
        <v>0.5</v>
      </c>
      <c r="L70" s="35" t="n">
        <v>0</v>
      </c>
      <c r="M70" s="35" t="inlineStr"/>
      <c r="N70" s="35" t="inlineStr">
        <is>
          <t>Hardiness, Meat, Hair</t>
        </is>
      </c>
    </row>
    <row r="71">
      <c r="A71" s="35" t="inlineStr">
        <is>
          <t>Pen 6</t>
        </is>
      </c>
      <c r="B71" s="35" t="inlineStr">
        <is>
          <t>0055</t>
        </is>
      </c>
      <c r="C71" s="35" t="inlineStr">
        <is>
          <t>0055</t>
        </is>
      </c>
      <c r="D71" s="35" t="inlineStr">
        <is>
          <t>TAG_0055</t>
        </is>
      </c>
      <c r="E71" s="35" t="n">
        <v>1</v>
      </c>
      <c r="F71" s="35" t="inlineStr">
        <is>
          <t>00110</t>
        </is>
      </c>
      <c r="G71" s="35" t="inlineStr">
        <is>
          <t>00110</t>
        </is>
      </c>
      <c r="H71" s="35" t="inlineStr">
        <is>
          <t>Pen 1</t>
        </is>
      </c>
      <c r="I71" s="35" t="inlineStr">
        <is>
          <t>TAG_00110</t>
        </is>
      </c>
      <c r="J71" s="35" t="n">
        <v>0.5</v>
      </c>
      <c r="K71" s="35" t="n">
        <v>0.5</v>
      </c>
      <c r="L71" s="35" t="n">
        <v>0</v>
      </c>
      <c r="M71" s="35" t="inlineStr"/>
      <c r="N71" s="35" t="inlineStr">
        <is>
          <t>Hardiness, Meat, Hair</t>
        </is>
      </c>
    </row>
    <row r="72">
      <c r="A72" s="35" t="inlineStr">
        <is>
          <t>Pen 6</t>
        </is>
      </c>
      <c r="B72" s="35" t="inlineStr">
        <is>
          <t>0055</t>
        </is>
      </c>
      <c r="C72" s="35" t="inlineStr">
        <is>
          <t>0055</t>
        </is>
      </c>
      <c r="D72" s="35" t="inlineStr">
        <is>
          <t>TAG_0055</t>
        </is>
      </c>
      <c r="E72" s="35" t="n">
        <v>2</v>
      </c>
      <c r="F72" s="35" t="inlineStr">
        <is>
          <t>Twin ram (brown &amp; white)</t>
        </is>
      </c>
      <c r="G72" s="35" t="n"/>
      <c r="H72" s="35" t="inlineStr">
        <is>
          <t>Pen 1</t>
        </is>
      </c>
      <c r="I72" s="35" t="inlineStr">
        <is>
          <t>P1_TWIN_RAM_BROWNWHITE</t>
        </is>
      </c>
      <c r="J72" s="35" t="n">
        <v>0.5</v>
      </c>
      <c r="K72" s="35" t="n">
        <v>0.5</v>
      </c>
      <c r="L72" s="35" t="n">
        <v>0</v>
      </c>
      <c r="M72" s="35" t="inlineStr"/>
      <c r="N72" s="35" t="inlineStr">
        <is>
          <t>Hardiness, Meat, Hair</t>
        </is>
      </c>
    </row>
    <row r="73">
      <c r="A73" s="35" t="inlineStr">
        <is>
          <t>Pen 6</t>
        </is>
      </c>
      <c r="B73" s="35" t="inlineStr">
        <is>
          <t>0055</t>
        </is>
      </c>
      <c r="C73" s="35" t="inlineStr">
        <is>
          <t>0055</t>
        </is>
      </c>
      <c r="D73" s="35" t="inlineStr">
        <is>
          <t>TAG_0055</t>
        </is>
      </c>
      <c r="E73" s="35" t="n">
        <v>3</v>
      </c>
      <c r="F73" s="35" t="inlineStr">
        <is>
          <t>Twin ram (black &amp; white)</t>
        </is>
      </c>
      <c r="G73" s="35" t="n"/>
      <c r="H73" s="35" t="inlineStr">
        <is>
          <t>Pen 1</t>
        </is>
      </c>
      <c r="I73" s="35" t="inlineStr">
        <is>
          <t>P1_TWIN_RAM_BLACKWHITE</t>
        </is>
      </c>
      <c r="J73" s="35" t="n">
        <v>0.5</v>
      </c>
      <c r="K73" s="35" t="n">
        <v>0.5</v>
      </c>
      <c r="L73" s="35" t="n">
        <v>0</v>
      </c>
      <c r="M73" s="35" t="inlineStr"/>
      <c r="N73" s="35" t="inlineStr">
        <is>
          <t>Hardiness, Meat, Hair</t>
        </is>
      </c>
    </row>
    <row r="74">
      <c r="A74" s="35" t="inlineStr">
        <is>
          <t>Pen 6</t>
        </is>
      </c>
      <c r="B74" s="35" t="inlineStr">
        <is>
          <t>0056</t>
        </is>
      </c>
      <c r="C74" s="35" t="inlineStr">
        <is>
          <t>0056</t>
        </is>
      </c>
      <c r="D74" s="35" t="inlineStr">
        <is>
          <t>TAG_0056</t>
        </is>
      </c>
      <c r="E74" s="35" t="n">
        <v>1</v>
      </c>
      <c r="F74" s="35" t="inlineStr">
        <is>
          <t>00110</t>
        </is>
      </c>
      <c r="G74" s="35" t="inlineStr">
        <is>
          <t>00110</t>
        </is>
      </c>
      <c r="H74" s="35" t="inlineStr">
        <is>
          <t>Pen 1</t>
        </is>
      </c>
      <c r="I74" s="35" t="inlineStr">
        <is>
          <t>TAG_00110</t>
        </is>
      </c>
      <c r="J74" s="35" t="n">
        <v>0.5</v>
      </c>
      <c r="K74" s="35" t="n">
        <v>0.5</v>
      </c>
      <c r="L74" s="35" t="n">
        <v>0</v>
      </c>
      <c r="M74" s="35" t="inlineStr"/>
      <c r="N74" s="35" t="inlineStr">
        <is>
          <t>Hardiness, Meat, Hair</t>
        </is>
      </c>
    </row>
    <row r="75">
      <c r="A75" s="35" t="inlineStr">
        <is>
          <t>Pen 6</t>
        </is>
      </c>
      <c r="B75" s="35" t="inlineStr">
        <is>
          <t>0056</t>
        </is>
      </c>
      <c r="C75" s="35" t="inlineStr">
        <is>
          <t>0056</t>
        </is>
      </c>
      <c r="D75" s="35" t="inlineStr">
        <is>
          <t>TAG_0056</t>
        </is>
      </c>
      <c r="E75" s="35" t="n">
        <v>2</v>
      </c>
      <c r="F75" s="35" t="inlineStr">
        <is>
          <t>Twin ram (brown &amp; white)</t>
        </is>
      </c>
      <c r="G75" s="35" t="n"/>
      <c r="H75" s="35" t="inlineStr">
        <is>
          <t>Pen 1</t>
        </is>
      </c>
      <c r="I75" s="35" t="inlineStr">
        <is>
          <t>P1_TWIN_RAM_BROWNWHITE</t>
        </is>
      </c>
      <c r="J75" s="35" t="n">
        <v>0.5</v>
      </c>
      <c r="K75" s="35" t="n">
        <v>0.5</v>
      </c>
      <c r="L75" s="35" t="n">
        <v>0</v>
      </c>
      <c r="M75" s="35" t="inlineStr"/>
      <c r="N75" s="35" t="inlineStr">
        <is>
          <t>Hardiness, Meat, Hair</t>
        </is>
      </c>
    </row>
    <row r="76">
      <c r="A76" s="35" t="inlineStr">
        <is>
          <t>Pen 6</t>
        </is>
      </c>
      <c r="B76" s="35" t="inlineStr">
        <is>
          <t>0056</t>
        </is>
      </c>
      <c r="C76" s="35" t="inlineStr">
        <is>
          <t>0056</t>
        </is>
      </c>
      <c r="D76" s="35" t="inlineStr">
        <is>
          <t>TAG_0056</t>
        </is>
      </c>
      <c r="E76" s="35" t="n">
        <v>3</v>
      </c>
      <c r="F76" s="35" t="inlineStr">
        <is>
          <t>Twin ram (black &amp; white)</t>
        </is>
      </c>
      <c r="G76" s="35" t="n"/>
      <c r="H76" s="35" t="inlineStr">
        <is>
          <t>Pen 1</t>
        </is>
      </c>
      <c r="I76" s="35" t="inlineStr">
        <is>
          <t>P1_TWIN_RAM_BLACKWHITE</t>
        </is>
      </c>
      <c r="J76" s="35" t="n">
        <v>0.5</v>
      </c>
      <c r="K76" s="35" t="n">
        <v>0.5</v>
      </c>
      <c r="L76" s="35" t="n">
        <v>0</v>
      </c>
      <c r="M76" s="35" t="inlineStr"/>
      <c r="N76" s="35" t="inlineStr">
        <is>
          <t>Hardiness, Meat, Hair</t>
        </is>
      </c>
    </row>
    <row r="77">
      <c r="A77" s="35" t="inlineStr">
        <is>
          <t>Pen 2</t>
        </is>
      </c>
      <c r="B77" s="35" t="inlineStr">
        <is>
          <t>114</t>
        </is>
      </c>
      <c r="C77" s="35" t="inlineStr">
        <is>
          <t>114</t>
        </is>
      </c>
      <c r="D77" s="35" t="inlineStr">
        <is>
          <t>TAG_0114</t>
        </is>
      </c>
      <c r="E77" s="35" t="n">
        <v>1</v>
      </c>
      <c r="F77" s="35" t="inlineStr">
        <is>
          <t>00110</t>
        </is>
      </c>
      <c r="G77" s="35" t="inlineStr">
        <is>
          <t>00110</t>
        </is>
      </c>
      <c r="H77" s="35" t="inlineStr">
        <is>
          <t>Pen 1</t>
        </is>
      </c>
      <c r="I77" s="35" t="inlineStr">
        <is>
          <t>TAG_00110</t>
        </is>
      </c>
      <c r="J77" s="35" t="n">
        <v>0.5</v>
      </c>
      <c r="K77" s="35" t="n">
        <v>0.5</v>
      </c>
      <c r="L77" s="35" t="n">
        <v>0</v>
      </c>
      <c r="M77" s="35" t="inlineStr"/>
      <c r="N77" s="35" t="inlineStr">
        <is>
          <t>Hardiness, Meat, Hair</t>
        </is>
      </c>
    </row>
    <row r="78">
      <c r="A78" s="35" t="inlineStr">
        <is>
          <t>Pen 2</t>
        </is>
      </c>
      <c r="B78" s="35" t="inlineStr">
        <is>
          <t>114</t>
        </is>
      </c>
      <c r="C78" s="35" t="inlineStr">
        <is>
          <t>114</t>
        </is>
      </c>
      <c r="D78" s="35" t="inlineStr">
        <is>
          <t>TAG_0114</t>
        </is>
      </c>
      <c r="E78" s="35" t="n">
        <v>2</v>
      </c>
      <c r="F78" s="35" t="inlineStr">
        <is>
          <t>Twin ram (brown &amp; white)</t>
        </is>
      </c>
      <c r="G78" s="35" t="n"/>
      <c r="H78" s="35" t="inlineStr">
        <is>
          <t>Pen 1</t>
        </is>
      </c>
      <c r="I78" s="35" t="inlineStr">
        <is>
          <t>P1_TWIN_RAM_BROWNWHITE</t>
        </is>
      </c>
      <c r="J78" s="35" t="n">
        <v>0.5</v>
      </c>
      <c r="K78" s="35" t="n">
        <v>0.5</v>
      </c>
      <c r="L78" s="35" t="n">
        <v>0</v>
      </c>
      <c r="M78" s="35" t="inlineStr"/>
      <c r="N78" s="35" t="inlineStr">
        <is>
          <t>Hardiness, Meat, Hair</t>
        </is>
      </c>
    </row>
    <row r="79">
      <c r="A79" s="35" t="inlineStr">
        <is>
          <t>Pen 2</t>
        </is>
      </c>
      <c r="B79" s="35" t="inlineStr">
        <is>
          <t>114</t>
        </is>
      </c>
      <c r="C79" s="35" t="inlineStr">
        <is>
          <t>114</t>
        </is>
      </c>
      <c r="D79" s="35" t="inlineStr">
        <is>
          <t>TAG_0114</t>
        </is>
      </c>
      <c r="E79" s="35" t="n">
        <v>3</v>
      </c>
      <c r="F79" s="35" t="inlineStr">
        <is>
          <t>Twin ram (black &amp; white)</t>
        </is>
      </c>
      <c r="G79" s="35" t="n"/>
      <c r="H79" s="35" t="inlineStr">
        <is>
          <t>Pen 1</t>
        </is>
      </c>
      <c r="I79" s="35" t="inlineStr">
        <is>
          <t>P1_TWIN_RAM_BLACKWHITE</t>
        </is>
      </c>
      <c r="J79" s="35" t="n">
        <v>0.5</v>
      </c>
      <c r="K79" s="35" t="n">
        <v>0.5</v>
      </c>
      <c r="L79" s="35" t="n">
        <v>0</v>
      </c>
      <c r="M79" s="35" t="inlineStr"/>
      <c r="N79" s="35" t="inlineStr">
        <is>
          <t>Hardiness, Meat, Hair</t>
        </is>
      </c>
    </row>
    <row r="80">
      <c r="A80" s="35" t="inlineStr">
        <is>
          <t>Pen 6</t>
        </is>
      </c>
      <c r="B80" s="35" t="inlineStr">
        <is>
          <t>2139</t>
        </is>
      </c>
      <c r="C80" s="35" t="inlineStr">
        <is>
          <t>2139</t>
        </is>
      </c>
      <c r="D80" s="35" t="inlineStr">
        <is>
          <t>TAG_2139</t>
        </is>
      </c>
      <c r="E80" s="35" t="n">
        <v>1</v>
      </c>
      <c r="F80" s="35" t="inlineStr">
        <is>
          <t>00110</t>
        </is>
      </c>
      <c r="G80" s="35" t="inlineStr">
        <is>
          <t>00110</t>
        </is>
      </c>
      <c r="H80" s="35" t="inlineStr">
        <is>
          <t>Pen 1</t>
        </is>
      </c>
      <c r="I80" s="35" t="inlineStr">
        <is>
          <t>TAG_00110</t>
        </is>
      </c>
      <c r="J80" s="35" t="n">
        <v>0.5</v>
      </c>
      <c r="K80" s="35" t="n">
        <v>0.5</v>
      </c>
      <c r="L80" s="35" t="n">
        <v>0</v>
      </c>
      <c r="M80" s="35" t="inlineStr"/>
      <c r="N80" s="35" t="inlineStr">
        <is>
          <t>Hardiness, Meat, Hair</t>
        </is>
      </c>
    </row>
    <row r="81">
      <c r="A81" s="35" t="inlineStr">
        <is>
          <t>Pen 6</t>
        </is>
      </c>
      <c r="B81" s="35" t="inlineStr">
        <is>
          <t>2139</t>
        </is>
      </c>
      <c r="C81" s="35" t="inlineStr">
        <is>
          <t>2139</t>
        </is>
      </c>
      <c r="D81" s="35" t="inlineStr">
        <is>
          <t>TAG_2139</t>
        </is>
      </c>
      <c r="E81" s="35" t="n">
        <v>2</v>
      </c>
      <c r="F81" s="35" t="inlineStr">
        <is>
          <t>Twin ram (brown &amp; white)</t>
        </is>
      </c>
      <c r="G81" s="35" t="n"/>
      <c r="H81" s="35" t="inlineStr">
        <is>
          <t>Pen 1</t>
        </is>
      </c>
      <c r="I81" s="35" t="inlineStr">
        <is>
          <t>P1_TWIN_RAM_BROWNWHITE</t>
        </is>
      </c>
      <c r="J81" s="35" t="n">
        <v>0.5</v>
      </c>
      <c r="K81" s="35" t="n">
        <v>0.5</v>
      </c>
      <c r="L81" s="35" t="n">
        <v>0</v>
      </c>
      <c r="M81" s="35" t="inlineStr"/>
      <c r="N81" s="35" t="inlineStr">
        <is>
          <t>Hardiness, Meat, Hair</t>
        </is>
      </c>
    </row>
    <row r="82">
      <c r="A82" s="35" t="inlineStr">
        <is>
          <t>Pen 6</t>
        </is>
      </c>
      <c r="B82" s="35" t="inlineStr">
        <is>
          <t>2139</t>
        </is>
      </c>
      <c r="C82" s="35" t="inlineStr">
        <is>
          <t>2139</t>
        </is>
      </c>
      <c r="D82" s="35" t="inlineStr">
        <is>
          <t>TAG_2139</t>
        </is>
      </c>
      <c r="E82" s="35" t="n">
        <v>3</v>
      </c>
      <c r="F82" s="35" t="inlineStr">
        <is>
          <t>Twin ram (black &amp; white)</t>
        </is>
      </c>
      <c r="G82" s="35" t="n"/>
      <c r="H82" s="35" t="inlineStr">
        <is>
          <t>Pen 1</t>
        </is>
      </c>
      <c r="I82" s="35" t="inlineStr">
        <is>
          <t>P1_TWIN_RAM_BLACKWHITE</t>
        </is>
      </c>
      <c r="J82" s="35" t="n">
        <v>0.5</v>
      </c>
      <c r="K82" s="35" t="n">
        <v>0.5</v>
      </c>
      <c r="L82" s="35" t="n">
        <v>0</v>
      </c>
      <c r="M82" s="35" t="inlineStr"/>
      <c r="N82" s="35" t="inlineStr">
        <is>
          <t>Hardiness, Meat, Hair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26" customWidth="1" min="5" max="5"/>
  </cols>
  <sheetData>
    <row r="1">
      <c r="A1" s="4" t="inlineStr">
        <is>
          <t>RamID</t>
        </is>
      </c>
      <c r="B1" s="4" t="inlineStr">
        <is>
          <t>RamName</t>
        </is>
      </c>
      <c r="C1" s="4" t="inlineStr">
        <is>
          <t>RamTag</t>
        </is>
      </c>
      <c r="D1" s="4" t="inlineStr">
        <is>
          <t>RamPen</t>
        </is>
      </c>
      <c r="E1" s="4" t="inlineStr">
        <is>
          <t>AssignedEwes(top choice)</t>
        </is>
      </c>
    </row>
    <row r="2">
      <c r="A2" s="35" t="inlineStr">
        <is>
          <t>TAG_00110</t>
        </is>
      </c>
      <c r="B2" s="35" t="inlineStr">
        <is>
          <t>00110</t>
        </is>
      </c>
      <c r="C2" s="35" t="inlineStr">
        <is>
          <t>00110</t>
        </is>
      </c>
      <c r="D2" s="35" t="inlineStr">
        <is>
          <t>Pen 1</t>
        </is>
      </c>
      <c r="E2" s="35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Statistics:</t>
        </is>
      </c>
      <c r="B1" t="inlineStr">
        <is>
          <t>Tag Number</t>
        </is>
      </c>
      <c r="C1" t="inlineStr">
        <is>
          <t>Sheep Name</t>
        </is>
      </c>
      <c r="D1" t="inlineStr">
        <is>
          <t>Gender</t>
        </is>
      </c>
      <c r="E1" t="inlineStr">
        <is>
          <t>Present/Sold</t>
        </is>
      </c>
      <c r="F1" t="inlineStr">
        <is>
          <t>Date of Birth</t>
        </is>
      </c>
      <c r="G1" t="inlineStr">
        <is>
          <t>Date Aquired</t>
        </is>
      </c>
      <c r="H1" t="inlineStr">
        <is>
          <t>Date Sold/Died</t>
        </is>
      </c>
      <c r="I1" t="inlineStr">
        <is>
          <t>Months Old</t>
        </is>
      </c>
      <c r="J1" t="inlineStr">
        <is>
          <t>Days Owned</t>
        </is>
      </c>
      <c r="K1" t="inlineStr">
        <is>
          <t>Total Cost While Owned</t>
        </is>
      </c>
      <c r="L1" t="inlineStr">
        <is>
          <t>Price Paid</t>
        </is>
      </c>
      <c r="M1" t="inlineStr">
        <is>
          <t>Price Received</t>
        </is>
      </c>
      <c r="N1" t="inlineStr">
        <is>
          <t>Profit/Loss</t>
        </is>
      </c>
      <c r="O1" t="inlineStr">
        <is>
          <t>Paint Color</t>
        </is>
      </c>
      <c r="P1" t="inlineStr">
        <is>
          <t>Breed %s</t>
        </is>
      </c>
      <c r="R1" t="inlineStr">
        <is>
          <t>Sire</t>
        </is>
      </c>
      <c r="S1" t="inlineStr">
        <is>
          <t>Dam</t>
        </is>
      </c>
      <c r="T1" t="inlineStr">
        <is>
          <t>Breeder</t>
        </is>
      </c>
      <c r="U1" t="inlineStr">
        <is>
          <t>Number of babies total</t>
        </is>
      </c>
      <c r="V1" t="inlineStr">
        <is>
          <t>Number of Lambs this year</t>
        </is>
      </c>
      <c r="W1" t="inlineStr">
        <is>
          <t>Number survived till weaned (this year)</t>
        </is>
      </c>
      <c r="X1" t="inlineStr">
        <is>
          <t>Birth Weight</t>
        </is>
      </c>
      <c r="Y1" t="inlineStr">
        <is>
          <t>60 day weight</t>
        </is>
      </c>
      <c r="Z1" t="inlineStr">
        <is>
          <t>CDT (1)</t>
        </is>
      </c>
      <c r="AA1" t="inlineStr">
        <is>
          <t>CDT (2)</t>
        </is>
      </c>
      <c r="AB1" t="inlineStr">
        <is>
          <t>CDT (2021 Booster)</t>
        </is>
      </c>
      <c r="AC1" t="inlineStr">
        <is>
          <t>Link to Photo</t>
        </is>
      </c>
      <c r="AD1" t="inlineStr">
        <is>
          <t>Comments</t>
        </is>
      </c>
      <c r="AK1" t="inlineStr">
        <is>
          <t>Todays Date</t>
        </is>
      </c>
    </row>
    <row r="2">
      <c r="A2" t="inlineStr">
        <is>
          <t>Todays Date:</t>
        </is>
      </c>
      <c r="C2" t="inlineStr">
        <is>
          <t>Midnight Snack</t>
        </is>
      </c>
      <c r="D2" t="inlineStr">
        <is>
          <t>Ram</t>
        </is>
      </c>
      <c r="E2" t="inlineStr">
        <is>
          <t>S</t>
        </is>
      </c>
      <c r="F2" t="inlineStr">
        <is>
          <t>3/13/2021</t>
        </is>
      </c>
      <c r="G2" t="inlineStr">
        <is>
          <t>5/24/2021</t>
        </is>
      </c>
      <c r="I2" t="inlineStr">
        <is>
          <t>57</t>
        </is>
      </c>
      <c r="J2" t="inlineStr">
        <is>
          <t>1689</t>
        </is>
      </c>
      <c r="K2" t="e">
        <v>#REF!</v>
      </c>
      <c r="L2" t="inlineStr">
        <is>
          <t>0.00</t>
        </is>
      </c>
      <c r="P2" t="inlineStr">
        <is>
          <t>100% Katahdin</t>
        </is>
      </c>
      <c r="AD2" t="inlineStr">
        <is>
          <t>All Black</t>
        </is>
      </c>
      <c r="AK2" t="inlineStr">
        <is>
          <t>1/7/2026</t>
        </is>
      </c>
    </row>
    <row r="3">
      <c r="A3" t="inlineStr">
        <is>
          <t>1/7/2026</t>
        </is>
      </c>
      <c r="C3" t="inlineStr">
        <is>
          <t>Black Rock</t>
        </is>
      </c>
      <c r="E3" t="inlineStr">
        <is>
          <t>P</t>
        </is>
      </c>
      <c r="F3" t="inlineStr">
        <is>
          <t>3/13/2021</t>
        </is>
      </c>
      <c r="G3" t="inlineStr">
        <is>
          <t>5/24/2021</t>
        </is>
      </c>
      <c r="I3" t="inlineStr">
        <is>
          <t>55</t>
        </is>
      </c>
      <c r="J3" t="inlineStr">
        <is>
          <t>1689</t>
        </is>
      </c>
      <c r="K3" t="e">
        <v>#REF!</v>
      </c>
      <c r="L3" t="inlineStr">
        <is>
          <t>0.00</t>
        </is>
      </c>
      <c r="P3" t="inlineStr">
        <is>
          <t>100% Katahdin</t>
        </is>
      </c>
      <c r="AD3" t="inlineStr">
        <is>
          <t>Black With a white Blaze on his head.</t>
        </is>
      </c>
    </row>
    <row r="4">
      <c r="A4" t="inlineStr">
        <is>
          <t>Cost/Sheep/Day</t>
        </is>
      </c>
      <c r="C4" t="inlineStr">
        <is>
          <t>BrownKnee</t>
        </is>
      </c>
      <c r="D4" t="inlineStr">
        <is>
          <t>Ram</t>
        </is>
      </c>
      <c r="E4" t="inlineStr">
        <is>
          <t>P</t>
        </is>
      </c>
      <c r="F4" t="inlineStr">
        <is>
          <t>11/1/2015</t>
        </is>
      </c>
      <c r="G4" t="inlineStr">
        <is>
          <t>11/1/2015</t>
        </is>
      </c>
      <c r="I4" t="inlineStr">
        <is>
          <t>122</t>
        </is>
      </c>
      <c r="J4" t="inlineStr">
        <is>
          <t>3720</t>
        </is>
      </c>
      <c r="K4" t="e">
        <v>#REF!</v>
      </c>
      <c r="L4" t="inlineStr">
        <is>
          <t>230.00</t>
        </is>
      </c>
      <c r="P4" t="inlineStr">
        <is>
          <t>75% st augustine 25% Katahdin</t>
        </is>
      </c>
      <c r="R4" t="inlineStr">
        <is>
          <t>St augustine Ram 1</t>
        </is>
      </c>
      <c r="S4" t="inlineStr">
        <is>
          <t>Half Katahdin Half St Augustine ewe</t>
        </is>
      </c>
      <c r="T4" t="inlineStr">
        <is>
          <t>Carol Posley/Fairmeadow</t>
        </is>
      </c>
      <c r="AD4" t="inlineStr">
        <is>
          <t>Docile. Meaty - easily 300lbs</t>
        </is>
      </c>
    </row>
    <row r="5">
      <c r="A5" t="e">
        <v>#REF!</v>
      </c>
      <c r="C5" t="inlineStr">
        <is>
          <t>Anna</t>
        </is>
      </c>
      <c r="D5" t="inlineStr">
        <is>
          <t>Ewe</t>
        </is>
      </c>
      <c r="E5" t="inlineStr">
        <is>
          <t>D</t>
        </is>
      </c>
      <c r="F5" t="inlineStr">
        <is>
          <t>4/24/2021</t>
        </is>
      </c>
      <c r="G5" t="inlineStr">
        <is>
          <t>4/24/2021</t>
        </is>
      </c>
      <c r="I5" t="inlineStr">
        <is>
          <t>56</t>
        </is>
      </c>
      <c r="J5" t="inlineStr">
        <is>
          <t>1719</t>
        </is>
      </c>
      <c r="K5" t="e">
        <v>#REF!</v>
      </c>
      <c r="L5" t="inlineStr">
        <is>
          <t>0.00</t>
        </is>
      </c>
      <c r="O5" t="inlineStr">
        <is>
          <t>Yellow</t>
        </is>
      </c>
      <c r="P5" t="inlineStr">
        <is>
          <t>54.75% St Augustine 46.25% Katahdin</t>
        </is>
      </c>
      <c r="R5" t="inlineStr">
        <is>
          <t>Sir Loin</t>
        </is>
      </c>
      <c r="S5" t="inlineStr">
        <is>
          <t>Brownknee</t>
        </is>
      </c>
      <c r="T5" t="inlineStr">
        <is>
          <t>Ken</t>
        </is>
      </c>
      <c r="AD5" t="inlineStr">
        <is>
          <t>Bottle Baby</t>
        </is>
      </c>
    </row>
    <row r="6">
      <c r="C6" t="inlineStr">
        <is>
          <t>Sheep Number</t>
        </is>
      </c>
      <c r="D6" t="inlineStr">
        <is>
          <t>Ewe</t>
        </is>
      </c>
      <c r="E6" t="inlineStr">
        <is>
          <t>P</t>
        </is>
      </c>
      <c r="F6" t="inlineStr">
        <is>
          <t>6/1/2015</t>
        </is>
      </c>
      <c r="G6" t="inlineStr">
        <is>
          <t>6/1/2015</t>
        </is>
      </c>
      <c r="I6" t="inlineStr">
        <is>
          <t>127</t>
        </is>
      </c>
      <c r="J6" t="inlineStr">
        <is>
          <t>3873</t>
        </is>
      </c>
      <c r="K6" t="e">
        <v>#REF!</v>
      </c>
      <c r="L6" t="inlineStr">
        <is>
          <t>200.00</t>
        </is>
      </c>
      <c r="O6" t="inlineStr">
        <is>
          <t>Purple</t>
        </is>
      </c>
      <c r="P6" t="inlineStr">
        <is>
          <t>Katahdin 100%</t>
        </is>
      </c>
      <c r="R6" t="inlineStr">
        <is>
          <t>Katahdin Ewe 2</t>
        </is>
      </c>
      <c r="S6" t="inlineStr">
        <is>
          <t>Katahdin Ewe 1</t>
        </is>
      </c>
      <c r="T6" t="inlineStr">
        <is>
          <t>Ed Maddox</t>
        </is>
      </c>
      <c r="V6" t="inlineStr">
        <is>
          <t>3</t>
        </is>
      </c>
      <c r="W6" t="inlineStr">
        <is>
          <t>2</t>
        </is>
      </c>
      <c r="AD6" t="inlineStr">
        <is>
          <t>Our Friendly Matriarch</t>
        </is>
      </c>
    </row>
    <row r="7">
      <c r="C7" t="inlineStr">
        <is>
          <t>Sir Loin</t>
        </is>
      </c>
      <c r="D7" t="inlineStr">
        <is>
          <t>Ram</t>
        </is>
      </c>
      <c r="E7" t="inlineStr">
        <is>
          <t>P</t>
        </is>
      </c>
      <c r="F7" t="inlineStr">
        <is>
          <t>2/14/2021</t>
        </is>
      </c>
      <c r="G7" t="inlineStr">
        <is>
          <t>10/1/2021</t>
        </is>
      </c>
      <c r="I7" t="inlineStr">
        <is>
          <t>51</t>
        </is>
      </c>
      <c r="J7" t="inlineStr">
        <is>
          <t>1559</t>
        </is>
      </c>
      <c r="K7" t="e">
        <v>#REF!</v>
      </c>
      <c r="L7" t="inlineStr">
        <is>
          <t>150.00</t>
        </is>
      </c>
    </row>
    <row r="8">
      <c r="C8" t="inlineStr">
        <is>
          <t>Anna's Big One</t>
        </is>
      </c>
      <c r="D8" t="inlineStr">
        <is>
          <t>Ewe</t>
        </is>
      </c>
      <c r="E8" t="inlineStr">
        <is>
          <t>P</t>
        </is>
      </c>
      <c r="F8" t="inlineStr">
        <is>
          <t>4/10/2021</t>
        </is>
      </c>
      <c r="G8" t="inlineStr">
        <is>
          <t>4/10/2021</t>
        </is>
      </c>
      <c r="I8" t="inlineStr">
        <is>
          <t>56</t>
        </is>
      </c>
      <c r="J8" t="inlineStr">
        <is>
          <t>1733</t>
        </is>
      </c>
      <c r="K8" t="e">
        <v>#REF!</v>
      </c>
      <c r="L8" t="inlineStr">
        <is>
          <t>0.00</t>
        </is>
      </c>
      <c r="O8" t="inlineStr">
        <is>
          <t>Purple</t>
        </is>
      </c>
      <c r="P8" t="inlineStr">
        <is>
          <t>37.5% St Augustine 62.5% katahdin</t>
        </is>
      </c>
      <c r="R8" t="inlineStr">
        <is>
          <t>Sir Loin</t>
        </is>
      </c>
      <c r="S8" t="inlineStr">
        <is>
          <t>Anna</t>
        </is>
      </c>
      <c r="T8" t="inlineStr">
        <is>
          <t>Ken</t>
        </is>
      </c>
    </row>
    <row r="9">
      <c r="C9" t="inlineStr">
        <is>
          <t>Half Tail</t>
        </is>
      </c>
      <c r="D9" t="inlineStr">
        <is>
          <t>Ewe</t>
        </is>
      </c>
      <c r="E9" t="inlineStr">
        <is>
          <t>P</t>
        </is>
      </c>
      <c r="F9" t="inlineStr">
        <is>
          <t>5/14/2020</t>
        </is>
      </c>
      <c r="G9" t="inlineStr">
        <is>
          <t>5/14/2021</t>
        </is>
      </c>
      <c r="I9" t="inlineStr">
        <is>
          <t>55</t>
        </is>
      </c>
      <c r="J9" t="inlineStr">
        <is>
          <t>1699</t>
        </is>
      </c>
      <c r="K9" t="e">
        <v>#REF!</v>
      </c>
      <c r="L9" t="inlineStr">
        <is>
          <t>175.00</t>
        </is>
      </c>
      <c r="P9" t="inlineStr">
        <is>
          <t>50%Jacob 50% Babydoll</t>
        </is>
      </c>
    </row>
    <row r="10">
      <c r="C10" t="inlineStr">
        <is>
          <t>Hersheys</t>
        </is>
      </c>
      <c r="D10" t="inlineStr">
        <is>
          <t>Ewe</t>
        </is>
      </c>
      <c r="E10" t="inlineStr">
        <is>
          <t>P</t>
        </is>
      </c>
      <c r="F10" t="inlineStr">
        <is>
          <t>1/24/2021</t>
        </is>
      </c>
      <c r="G10" t="inlineStr">
        <is>
          <t>4/18/2021</t>
        </is>
      </c>
      <c r="I10" t="inlineStr">
        <is>
          <t>56</t>
        </is>
      </c>
      <c r="J10" t="inlineStr">
        <is>
          <t>1725</t>
        </is>
      </c>
      <c r="K10" t="e">
        <v>#REF!</v>
      </c>
      <c r="L10" t="inlineStr">
        <is>
          <t>200.00</t>
        </is>
      </c>
      <c r="P10" t="inlineStr">
        <is>
          <t>50% Dorper 50% katahdin</t>
        </is>
      </c>
      <c r="R10" t="inlineStr">
        <is>
          <t>Dorper Ram 1</t>
        </is>
      </c>
      <c r="S10" t="inlineStr">
        <is>
          <t>Katahdin Ewe 1</t>
        </is>
      </c>
      <c r="T10" t="inlineStr">
        <is>
          <t>Maria Tracy (Heather farms)</t>
        </is>
      </c>
      <c r="AD10" t="inlineStr">
        <is>
          <t>Purchased for Milk Production</t>
        </is>
      </c>
    </row>
    <row r="11">
      <c r="C11" t="inlineStr">
        <is>
          <t>Sugar</t>
        </is>
      </c>
      <c r="D11" t="inlineStr">
        <is>
          <t>Ewe</t>
        </is>
      </c>
      <c r="E11" t="inlineStr">
        <is>
          <t>P</t>
        </is>
      </c>
      <c r="F11" t="inlineStr">
        <is>
          <t>1/4/2019</t>
        </is>
      </c>
      <c r="G11" t="inlineStr">
        <is>
          <t>1/4/2019</t>
        </is>
      </c>
      <c r="I11" t="inlineStr">
        <is>
          <t>84</t>
        </is>
      </c>
      <c r="J11" t="inlineStr">
        <is>
          <t>2560</t>
        </is>
      </c>
      <c r="K11" t="e">
        <v>#REF!</v>
      </c>
      <c r="L11" t="inlineStr">
        <is>
          <t>0.00</t>
        </is>
      </c>
      <c r="O11" t="inlineStr">
        <is>
          <t>Yellow</t>
        </is>
      </c>
      <c r="P11" t="inlineStr">
        <is>
          <t>37.5 st augustine 62.5% katahdin</t>
        </is>
      </c>
      <c r="R11" t="inlineStr">
        <is>
          <t>Sir Loin</t>
        </is>
      </c>
      <c r="S11" t="inlineStr">
        <is>
          <t>Anna</t>
        </is>
      </c>
      <c r="T11" t="inlineStr">
        <is>
          <t>Ken</t>
        </is>
      </c>
      <c r="U11" t="inlineStr">
        <is>
          <t>2</t>
        </is>
      </c>
      <c r="V11" t="inlineStr">
        <is>
          <t>2</t>
        </is>
      </c>
      <c r="AD11" t="inlineStr">
        <is>
          <t>Rejected one lamb violently(21)</t>
        </is>
      </c>
    </row>
    <row r="12">
      <c r="C12" t="inlineStr">
        <is>
          <t>Razzle</t>
        </is>
      </c>
      <c r="D12" t="inlineStr">
        <is>
          <t>Ewe</t>
        </is>
      </c>
      <c r="E12" t="inlineStr">
        <is>
          <t>P</t>
        </is>
      </c>
      <c r="F12" t="inlineStr">
        <is>
          <t>1/18/2018</t>
        </is>
      </c>
      <c r="G12" t="inlineStr">
        <is>
          <t>1/18/2018</t>
        </is>
      </c>
      <c r="I12" t="inlineStr">
        <is>
          <t>95</t>
        </is>
      </c>
      <c r="J12" t="inlineStr">
        <is>
          <t>2911</t>
        </is>
      </c>
      <c r="K12" t="e">
        <v>#REF!</v>
      </c>
      <c r="L12" t="inlineStr">
        <is>
          <t>0.00</t>
        </is>
      </c>
    </row>
    <row r="13">
      <c r="C13" t="inlineStr">
        <is>
          <t>Frazzle</t>
        </is>
      </c>
      <c r="D13" t="inlineStr">
        <is>
          <t>Ewe</t>
        </is>
      </c>
      <c r="E13" t="inlineStr">
        <is>
          <t>P</t>
        </is>
      </c>
      <c r="F13" t="inlineStr">
        <is>
          <t>1/13/2021</t>
        </is>
      </c>
      <c r="G13" t="inlineStr">
        <is>
          <t>4/18/2021</t>
        </is>
      </c>
      <c r="I13" t="inlineStr">
        <is>
          <t>56</t>
        </is>
      </c>
      <c r="J13" t="inlineStr">
        <is>
          <t>1725</t>
        </is>
      </c>
      <c r="K13" t="e">
        <v>#REF!</v>
      </c>
      <c r="L13" t="inlineStr">
        <is>
          <t>200.00</t>
        </is>
      </c>
      <c r="P13" t="inlineStr">
        <is>
          <t>50% Dorper 50% katahdin</t>
        </is>
      </c>
      <c r="R13" t="inlineStr">
        <is>
          <t>Dorper Ram 2</t>
        </is>
      </c>
      <c r="S13" t="inlineStr">
        <is>
          <t>Katahdin Ewe 2</t>
        </is>
      </c>
      <c r="T13" t="inlineStr">
        <is>
          <t>Maria Tracy (Heather farms)</t>
        </is>
      </c>
      <c r="AD13" t="inlineStr">
        <is>
          <t>Purchased for Milk Production</t>
        </is>
      </c>
    </row>
    <row r="14">
      <c r="C14" t="inlineStr">
        <is>
          <t>Boots</t>
        </is>
      </c>
      <c r="D14" t="inlineStr">
        <is>
          <t>Ewe</t>
        </is>
      </c>
      <c r="E14" t="inlineStr">
        <is>
          <t>P</t>
        </is>
      </c>
      <c r="F14" t="inlineStr">
        <is>
          <t>1/1/2020</t>
        </is>
      </c>
      <c r="G14" t="inlineStr">
        <is>
          <t>1/1/2020</t>
        </is>
      </c>
      <c r="I14" t="inlineStr">
        <is>
          <t>72</t>
        </is>
      </c>
      <c r="J14" t="inlineStr">
        <is>
          <t>2198</t>
        </is>
      </c>
      <c r="K14" t="e">
        <v>#REF!</v>
      </c>
      <c r="L14" t="inlineStr">
        <is>
          <t>0.00</t>
        </is>
      </c>
      <c r="P14" t="inlineStr">
        <is>
          <t>25% BBB 12.5% Auction 25% Katahdin and 37.5% St Augustine</t>
        </is>
      </c>
      <c r="R14" t="inlineStr">
        <is>
          <t>Sir Loin</t>
        </is>
      </c>
      <c r="S14" t="inlineStr">
        <is>
          <t>Sugar</t>
        </is>
      </c>
      <c r="T14" t="inlineStr">
        <is>
          <t>Ken</t>
        </is>
      </c>
      <c r="U14" t="inlineStr">
        <is>
          <t>3</t>
        </is>
      </c>
      <c r="V14" t="inlineStr">
        <is>
          <t>3</t>
        </is>
      </c>
      <c r="AD14" t="inlineStr">
        <is>
          <t>Rejected her male, lost one of the triplets (21)</t>
        </is>
      </c>
    </row>
    <row r="15">
      <c r="C15" t="inlineStr">
        <is>
          <t>Rose Baby 2</t>
        </is>
      </c>
      <c r="D15" t="inlineStr">
        <is>
          <t>Ewe</t>
        </is>
      </c>
      <c r="E15" t="inlineStr">
        <is>
          <t>S</t>
        </is>
      </c>
      <c r="F15" t="inlineStr">
        <is>
          <t>4/20/2021</t>
        </is>
      </c>
      <c r="G15" t="inlineStr">
        <is>
          <t>4/20/2021</t>
        </is>
      </c>
      <c r="I15" t="inlineStr">
        <is>
          <t>56</t>
        </is>
      </c>
      <c r="J15" t="inlineStr">
        <is>
          <t>1723</t>
        </is>
      </c>
      <c r="K15" t="e">
        <v>#REF!</v>
      </c>
      <c r="L15" t="inlineStr">
        <is>
          <t>0.00</t>
        </is>
      </c>
      <c r="O15" t="inlineStr">
        <is>
          <t>Green</t>
        </is>
      </c>
      <c r="P15" t="inlineStr">
        <is>
          <t>12.5 bbb 6.25 auction 31.5 katahdin 37.5 st augustine</t>
        </is>
      </c>
      <c r="R15" t="inlineStr">
        <is>
          <t>Sir Loin</t>
        </is>
      </c>
      <c r="S15" t="inlineStr">
        <is>
          <t>Rose</t>
        </is>
      </c>
      <c r="T15" t="inlineStr">
        <is>
          <t>Ken</t>
        </is>
      </c>
    </row>
    <row r="16">
      <c r="C16" t="inlineStr">
        <is>
          <t>Sugar Baby -1</t>
        </is>
      </c>
      <c r="D16" t="inlineStr">
        <is>
          <t>Ewe</t>
        </is>
      </c>
      <c r="E16" t="inlineStr">
        <is>
          <t>S</t>
        </is>
      </c>
      <c r="F16" t="inlineStr">
        <is>
          <t>1/18/2021</t>
        </is>
      </c>
      <c r="G16" t="inlineStr">
        <is>
          <t>1/18/2021</t>
        </is>
      </c>
      <c r="I16" t="inlineStr">
        <is>
          <t>59</t>
        </is>
      </c>
      <c r="J16" t="inlineStr">
        <is>
          <t>1815</t>
        </is>
      </c>
      <c r="K16" t="e">
        <v>#REF!</v>
      </c>
      <c r="L16" t="inlineStr">
        <is>
          <t>0.00</t>
        </is>
      </c>
      <c r="O16" t="inlineStr">
        <is>
          <t>Black</t>
        </is>
      </c>
      <c r="P16" t="inlineStr">
        <is>
          <t>37.5% Katahdin. 12.5% BBB, 37.5 St Augustine, 12.5% Auction Breed</t>
        </is>
      </c>
      <c r="R16" t="inlineStr">
        <is>
          <t>Sir Loin</t>
        </is>
      </c>
      <c r="S16" t="inlineStr">
        <is>
          <t>Sugar Baby</t>
        </is>
      </c>
      <c r="T16" t="inlineStr">
        <is>
          <t>Ken</t>
        </is>
      </c>
    </row>
    <row r="17">
      <c r="C17" t="inlineStr">
        <is>
          <t>Trouble</t>
        </is>
      </c>
      <c r="D17" t="inlineStr">
        <is>
          <t>Ewe</t>
        </is>
      </c>
      <c r="E17" t="inlineStr">
        <is>
          <t>P</t>
        </is>
      </c>
      <c r="F17" t="inlineStr">
        <is>
          <t>1/19/2020</t>
        </is>
      </c>
      <c r="G17" t="inlineStr">
        <is>
          <t>1/19/2020</t>
        </is>
      </c>
      <c r="I17" t="inlineStr">
        <is>
          <t>71</t>
        </is>
      </c>
      <c r="J17" t="inlineStr">
        <is>
          <t>2180</t>
        </is>
      </c>
      <c r="K17" t="e">
        <v>#REF!</v>
      </c>
      <c r="L17" t="inlineStr">
        <is>
          <t>0.00</t>
        </is>
      </c>
      <c r="O17" t="inlineStr">
        <is>
          <t>Black</t>
        </is>
      </c>
      <c r="P17" t="inlineStr">
        <is>
          <t>37.5% Katahdin. 12.5% BBB, 37.5 St Augustine, 12.5% Auction Breed</t>
        </is>
      </c>
      <c r="R17" t="inlineStr">
        <is>
          <t>Sir Loin</t>
        </is>
      </c>
      <c r="S17" t="inlineStr">
        <is>
          <t>Sugar</t>
        </is>
      </c>
      <c r="T17" t="inlineStr">
        <is>
          <t>Ken</t>
        </is>
      </c>
      <c r="U17" t="inlineStr">
        <is>
          <t>0</t>
        </is>
      </c>
      <c r="V17" t="inlineStr">
        <is>
          <t>0</t>
        </is>
      </c>
      <c r="AD17" t="inlineStr">
        <is>
          <t xml:space="preserve">Fairly Wooly. Stocky, </t>
        </is>
      </c>
    </row>
    <row r="18">
      <c r="C18" t="inlineStr">
        <is>
          <t>Shaggy</t>
        </is>
      </c>
      <c r="D18" t="inlineStr">
        <is>
          <t>Ewe</t>
        </is>
      </c>
      <c r="E18" t="inlineStr">
        <is>
          <t>P</t>
        </is>
      </c>
      <c r="F18" t="inlineStr">
        <is>
          <t>7/1/2020</t>
        </is>
      </c>
      <c r="G18" t="inlineStr">
        <is>
          <t>7/1/2020</t>
        </is>
      </c>
      <c r="I18" t="inlineStr">
        <is>
          <t>66</t>
        </is>
      </c>
      <c r="J18" t="inlineStr">
        <is>
          <t>2016</t>
        </is>
      </c>
      <c r="K18" t="e">
        <v>#REF!</v>
      </c>
      <c r="L18" t="inlineStr">
        <is>
          <t>0.00</t>
        </is>
      </c>
      <c r="P18" t="inlineStr">
        <is>
          <t>50% Dorper, 37.5% St Augustine 12.5% Katahdin</t>
        </is>
      </c>
      <c r="R18" t="inlineStr">
        <is>
          <t>Sir Loin</t>
        </is>
      </c>
      <c r="S18" t="inlineStr">
        <is>
          <t>Haley Lawson</t>
        </is>
      </c>
      <c r="T18" t="inlineStr">
        <is>
          <t>Ken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AD18" t="inlineStr">
        <is>
          <t xml:space="preserve">Small, and wooley. Will breed, and release. Nibbles your clothing. </t>
        </is>
      </c>
    </row>
    <row r="19">
      <c r="C19" t="inlineStr">
        <is>
          <t>Razzle</t>
        </is>
      </c>
      <c r="D19" t="inlineStr">
        <is>
          <t>Ram</t>
        </is>
      </c>
      <c r="E19" t="inlineStr">
        <is>
          <t>S</t>
        </is>
      </c>
      <c r="F19" t="inlineStr">
        <is>
          <t>3/12/2013</t>
        </is>
      </c>
      <c r="G19" t="inlineStr">
        <is>
          <t>3/12/2013</t>
        </is>
      </c>
      <c r="H19" t="inlineStr">
        <is>
          <t>5/12/2015</t>
        </is>
      </c>
      <c r="J19" t="inlineStr">
        <is>
          <t>791</t>
        </is>
      </c>
      <c r="L19" t="inlineStr">
        <is>
          <t>30.00</t>
        </is>
      </c>
      <c r="P19" t="inlineStr">
        <is>
          <t>Barbados Black Belly</t>
        </is>
      </c>
      <c r="R19" t="inlineStr">
        <is>
          <t>Auction</t>
        </is>
      </c>
      <c r="S19" t="inlineStr">
        <is>
          <t>Auction</t>
        </is>
      </c>
      <c r="T19" t="inlineStr">
        <is>
          <t>Auction</t>
        </is>
      </c>
      <c r="W19" t="inlineStr">
        <is>
          <t>m</t>
        </is>
      </c>
    </row>
    <row r="20">
      <c r="C20" t="inlineStr">
        <is>
          <t>Frazzle</t>
        </is>
      </c>
      <c r="D20" t="inlineStr">
        <is>
          <t>Ewe</t>
        </is>
      </c>
      <c r="E20" t="inlineStr">
        <is>
          <t>S</t>
        </is>
      </c>
      <c r="F20" t="inlineStr">
        <is>
          <t>9/12/2013</t>
        </is>
      </c>
      <c r="G20" t="inlineStr">
        <is>
          <t>3/3/2014</t>
        </is>
      </c>
      <c r="H20" t="inlineStr">
        <is>
          <t>5/20/2020</t>
        </is>
      </c>
      <c r="J20" t="inlineStr">
        <is>
          <t>2270</t>
        </is>
      </c>
      <c r="P20" t="inlineStr">
        <is>
          <t>Auction Breed X Katahdin</t>
        </is>
      </c>
      <c r="R20" t="inlineStr">
        <is>
          <t>Auction</t>
        </is>
      </c>
      <c r="S20" t="inlineStr">
        <is>
          <t>Auction</t>
        </is>
      </c>
      <c r="T20" t="inlineStr">
        <is>
          <t>Auction</t>
        </is>
      </c>
    </row>
    <row r="21">
      <c r="C21" t="inlineStr">
        <is>
          <t>Haley Lawson</t>
        </is>
      </c>
      <c r="D21" t="inlineStr">
        <is>
          <t>Ewe</t>
        </is>
      </c>
      <c r="E21" t="inlineStr">
        <is>
          <t>S</t>
        </is>
      </c>
      <c r="F21" t="inlineStr">
        <is>
          <t>1/1/2019</t>
        </is>
      </c>
      <c r="G21" t="inlineStr">
        <is>
          <t>1/1/2019</t>
        </is>
      </c>
      <c r="H21" t="inlineStr">
        <is>
          <t>12/1/2020</t>
        </is>
      </c>
      <c r="P21" t="inlineStr">
        <is>
          <t>50% Cracker 50% Unknown</t>
        </is>
      </c>
      <c r="R21" t="inlineStr">
        <is>
          <t>X</t>
        </is>
      </c>
      <c r="S21" t="inlineStr">
        <is>
          <t>X</t>
        </is>
      </c>
      <c r="T21" t="inlineStr">
        <is>
          <t>Haley Lawson</t>
        </is>
      </c>
      <c r="U21" t="inlineStr">
        <is>
          <t>1</t>
        </is>
      </c>
      <c r="V21" t="inlineStr">
        <is>
          <t>0</t>
        </is>
      </c>
      <c r="W21" t="inlineStr">
        <is>
          <t>1</t>
        </is>
      </c>
      <c r="AD21" t="inlineStr">
        <is>
          <t xml:space="preserve">Slow growing. </t>
        </is>
      </c>
    </row>
    <row r="22">
      <c r="C22" t="inlineStr">
        <is>
          <t xml:space="preserve">Sugar  </t>
        </is>
      </c>
      <c r="D22" t="inlineStr">
        <is>
          <t>Ewe</t>
        </is>
      </c>
      <c r="E22" t="inlineStr">
        <is>
          <t>S</t>
        </is>
      </c>
      <c r="F22" t="inlineStr">
        <is>
          <t>11/1/2014</t>
        </is>
      </c>
      <c r="G22" t="inlineStr">
        <is>
          <t>1/1/2019</t>
        </is>
      </c>
      <c r="H22" t="inlineStr">
        <is>
          <t>1/1/2019</t>
        </is>
      </c>
      <c r="P22" t="inlineStr">
        <is>
          <t>50% Katahdin 25% Barbados Black Belly 25% Auction Breed</t>
        </is>
      </c>
      <c r="R22" t="inlineStr">
        <is>
          <t>Clyde</t>
        </is>
      </c>
      <c r="S22" t="inlineStr">
        <is>
          <t>Hershey</t>
        </is>
      </c>
      <c r="T22" t="inlineStr">
        <is>
          <t>Greg</t>
        </is>
      </c>
      <c r="V22" t="inlineStr">
        <is>
          <t>0</t>
        </is>
      </c>
      <c r="W22" t="inlineStr">
        <is>
          <t>0</t>
        </is>
      </c>
    </row>
    <row r="23">
      <c r="C23" t="inlineStr">
        <is>
          <t>Deceased</t>
        </is>
      </c>
      <c r="D23" t="inlineStr">
        <is>
          <t>Ram</t>
        </is>
      </c>
      <c r="E23" t="inlineStr">
        <is>
          <t>S-D</t>
        </is>
      </c>
      <c r="F23" t="inlineStr">
        <is>
          <t>4/10/2021</t>
        </is>
      </c>
      <c r="G23" t="inlineStr">
        <is>
          <t>4/10/2021</t>
        </is>
      </c>
      <c r="H23" t="inlineStr">
        <is>
          <t>4/10/2021</t>
        </is>
      </c>
      <c r="I23" t="inlineStr">
        <is>
          <t>0</t>
        </is>
      </c>
      <c r="J23" t="inlineStr">
        <is>
          <t>0</t>
        </is>
      </c>
      <c r="K23" t="e">
        <v>#REF!</v>
      </c>
      <c r="P23" t="inlineStr">
        <is>
          <t>37.5% St Augustine 62.5% katahdin</t>
        </is>
      </c>
      <c r="R23" t="inlineStr">
        <is>
          <t>Sir Loin</t>
        </is>
      </c>
      <c r="S23" t="inlineStr">
        <is>
          <t>Anna</t>
        </is>
      </c>
      <c r="T23" t="inlineStr">
        <is>
          <t>Ken</t>
        </is>
      </c>
    </row>
    <row r="24">
      <c r="C24" t="inlineStr">
        <is>
          <t>Brownknee - 2</t>
        </is>
      </c>
      <c r="D24" t="inlineStr">
        <is>
          <t>Ram</t>
        </is>
      </c>
      <c r="E24" t="inlineStr">
        <is>
          <t>S-D</t>
        </is>
      </c>
      <c r="F24" t="inlineStr">
        <is>
          <t>4/24/2021</t>
        </is>
      </c>
      <c r="G24" t="inlineStr">
        <is>
          <t>4/24/2021</t>
        </is>
      </c>
      <c r="H24" t="inlineStr">
        <is>
          <t>4/24/2021</t>
        </is>
      </c>
      <c r="I24" t="inlineStr">
        <is>
          <t>0</t>
        </is>
      </c>
      <c r="J24" t="inlineStr">
        <is>
          <t>0</t>
        </is>
      </c>
      <c r="K24" t="e">
        <v>#REF!</v>
      </c>
      <c r="O24" t="inlineStr">
        <is>
          <t>Yellow</t>
        </is>
      </c>
      <c r="P24" t="inlineStr">
        <is>
          <t>54.75% St. Autustine 46.25% Katahdin</t>
        </is>
      </c>
      <c r="R24" t="inlineStr">
        <is>
          <t>Sir Loin</t>
        </is>
      </c>
      <c r="S24" t="inlineStr">
        <is>
          <t>Brownknee</t>
        </is>
      </c>
      <c r="T24" t="inlineStr">
        <is>
          <t>Ken</t>
        </is>
      </c>
    </row>
    <row r="25">
      <c r="C25" t="inlineStr">
        <is>
          <t>Elsie</t>
        </is>
      </c>
      <c r="D25" t="inlineStr">
        <is>
          <t>Ewe</t>
        </is>
      </c>
      <c r="E25" t="inlineStr">
        <is>
          <t>P</t>
        </is>
      </c>
      <c r="F25" t="inlineStr">
        <is>
          <t>1/1/2020</t>
        </is>
      </c>
      <c r="G25" t="inlineStr">
        <is>
          <t>4/1/2021</t>
        </is>
      </c>
      <c r="I25" t="inlineStr">
        <is>
          <t>57</t>
        </is>
      </c>
      <c r="J25" t="inlineStr">
        <is>
          <t>1742</t>
        </is>
      </c>
      <c r="K25" t="e">
        <v>#REF!</v>
      </c>
      <c r="L25" t="inlineStr">
        <is>
          <t>200.00</t>
        </is>
      </c>
    </row>
    <row r="26">
      <c r="C26" t="inlineStr">
        <is>
          <t>Chipolte Spicy Boi (BT1)</t>
        </is>
      </c>
      <c r="D26" t="inlineStr">
        <is>
          <t>Ewe</t>
        </is>
      </c>
      <c r="E26" t="inlineStr">
        <is>
          <t>P</t>
        </is>
      </c>
      <c r="F26" t="inlineStr">
        <is>
          <t>1/1/2020</t>
        </is>
      </c>
      <c r="G26" t="inlineStr">
        <is>
          <t>1/1/2020</t>
        </is>
      </c>
      <c r="I26" t="inlineStr">
        <is>
          <t>72</t>
        </is>
      </c>
      <c r="J26" t="inlineStr">
        <is>
          <t>2198</t>
        </is>
      </c>
      <c r="K26" t="e">
        <v>#REF!</v>
      </c>
      <c r="L26" t="inlineStr">
        <is>
          <t>0.00</t>
        </is>
      </c>
    </row>
    <row r="27">
      <c r="C27" t="inlineStr">
        <is>
          <t>Kaladin</t>
        </is>
      </c>
      <c r="D27" t="inlineStr">
        <is>
          <t>Ewe</t>
        </is>
      </c>
      <c r="E27" t="inlineStr">
        <is>
          <t>P</t>
        </is>
      </c>
      <c r="F27" t="inlineStr">
        <is>
          <t>1/1/2021</t>
        </is>
      </c>
      <c r="G27" t="inlineStr">
        <is>
          <t>1/6/2022</t>
        </is>
      </c>
      <c r="I27" t="inlineStr">
        <is>
          <t>48</t>
        </is>
      </c>
      <c r="J27" t="inlineStr">
        <is>
          <t>1462</t>
        </is>
      </c>
      <c r="K27" t="e">
        <v>#REF!</v>
      </c>
      <c r="L27" t="inlineStr">
        <is>
          <t>125.00</t>
        </is>
      </c>
      <c r="P27" t="inlineStr">
        <is>
          <t>50% Tunis 50% Cotswald</t>
        </is>
      </c>
      <c r="S27" t="inlineStr">
        <is>
          <t>Etta Lee</t>
        </is>
      </c>
    </row>
    <row r="28">
      <c r="C28" t="inlineStr">
        <is>
          <t>Current Sheep</t>
        </is>
      </c>
      <c r="E28" t="inlineStr">
        <is>
          <t>Total Sheep</t>
        </is>
      </c>
      <c r="F28" t="inlineStr">
        <is>
          <t>Sold Sheep</t>
        </is>
      </c>
    </row>
    <row r="31">
      <c r="A31" t="inlineStr">
        <is>
          <t>Current Sheep Count:</t>
        </is>
      </c>
      <c r="C31" t="inlineStr">
        <is>
          <t>16</t>
        </is>
      </c>
      <c r="E31" t="inlineStr">
        <is>
          <t>27</t>
        </is>
      </c>
      <c r="F31" t="inlineStr">
        <is>
          <t>7</t>
        </is>
      </c>
    </row>
    <row r="32">
      <c r="A32" t="inlineStr">
        <is>
          <t>16</t>
        </is>
      </c>
    </row>
    <row r="35">
      <c r="A35" t="inlineStr">
        <is>
          <t>Total CPD for ALL sheep:</t>
        </is>
      </c>
    </row>
    <row r="36">
      <c r="A36" t="e">
        <v>#REF!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Sheep Name</t>
        </is>
      </c>
      <c r="C1" t="inlineStr">
        <is>
          <t>Gender</t>
        </is>
      </c>
      <c r="D1" t="inlineStr">
        <is>
          <t>Color</t>
        </is>
      </c>
      <c r="E1" t="inlineStr">
        <is>
          <t>Heart Girth</t>
        </is>
      </c>
      <c r="F1" t="inlineStr">
        <is>
          <t>Body Length</t>
        </is>
      </c>
      <c r="G1" t="inlineStr">
        <is>
          <t>Weight</t>
        </is>
      </c>
      <c r="H1" t="inlineStr">
        <is>
          <t>ADG</t>
        </is>
      </c>
      <c r="I1" t="inlineStr">
        <is>
          <t>Heart Girth</t>
        </is>
      </c>
      <c r="J1" t="inlineStr">
        <is>
          <t>Body Length</t>
        </is>
      </c>
      <c r="K1" t="inlineStr">
        <is>
          <t>Weight</t>
        </is>
      </c>
      <c r="L1" t="inlineStr">
        <is>
          <t>ADG</t>
        </is>
      </c>
      <c r="M1" t="inlineStr">
        <is>
          <t>HEART GIRTH x HEART GIRTH x BODY LENGTH / 300 = Weight</t>
        </is>
      </c>
    </row>
    <row r="2">
      <c r="A2" t="inlineStr">
        <is>
          <t>Ewes</t>
        </is>
      </c>
      <c r="G2" t="inlineStr">
        <is>
          <t>3-26-22</t>
        </is>
      </c>
      <c r="K2" t="inlineStr">
        <is>
          <t>Date</t>
        </is>
      </c>
    </row>
    <row r="3">
      <c r="A3" t="inlineStr">
        <is>
          <t>Serendipity</t>
        </is>
      </c>
      <c r="C3" t="inlineStr">
        <is>
          <t>e</t>
        </is>
      </c>
      <c r="D3" t="inlineStr">
        <is>
          <t>Black with white crown</t>
        </is>
      </c>
      <c r="E3" t="inlineStr">
        <is>
          <t>15.25</t>
        </is>
      </c>
      <c r="F3" t="inlineStr">
        <is>
          <t>14.5</t>
        </is>
      </c>
      <c r="G3" t="inlineStr">
        <is>
          <t>11.24052083</t>
        </is>
      </c>
    </row>
    <row r="4">
      <c r="A4" t="inlineStr">
        <is>
          <t>Black Beauty</t>
        </is>
      </c>
      <c r="C4" t="inlineStr">
        <is>
          <t>e</t>
        </is>
      </c>
      <c r="D4" t="inlineStr">
        <is>
          <t xml:space="preserve">Black with white speckles </t>
        </is>
      </c>
      <c r="E4" t="inlineStr">
        <is>
          <t>23</t>
        </is>
      </c>
      <c r="F4" t="inlineStr">
        <is>
          <t>22</t>
        </is>
      </c>
      <c r="G4" t="inlineStr">
        <is>
          <t>38.79333333</t>
        </is>
      </c>
      <c r="H4" t="inlineStr">
        <is>
          <t>0.558</t>
        </is>
      </c>
    </row>
    <row r="6">
      <c r="A6" t="inlineStr">
        <is>
          <t>Rams</t>
        </is>
      </c>
    </row>
    <row r="7">
      <c r="A7" t="inlineStr">
        <is>
          <t>Black Rock (Elsie's Brother)</t>
        </is>
      </c>
      <c r="C7" t="inlineStr">
        <is>
          <t>r</t>
        </is>
      </c>
      <c r="D7" t="inlineStr">
        <is>
          <t>All black</t>
        </is>
      </c>
      <c r="E7" t="inlineStr">
        <is>
          <t>23</t>
        </is>
      </c>
      <c r="F7" t="inlineStr">
        <is>
          <t>20</t>
        </is>
      </c>
      <c r="G7" t="inlineStr">
        <is>
          <t>35.26666667</t>
        </is>
      </c>
    </row>
    <row r="8">
      <c r="A8" t="inlineStr">
        <is>
          <t>Spicy Boi (BT1)</t>
        </is>
      </c>
      <c r="C8" t="inlineStr">
        <is>
          <t>r</t>
        </is>
      </c>
      <c r="D8" t="inlineStr">
        <is>
          <t>Brn tips on ear</t>
        </is>
      </c>
      <c r="E8" t="inlineStr">
        <is>
          <t>25.75</t>
        </is>
      </c>
      <c r="F8" t="inlineStr">
        <is>
          <t>23.5</t>
        </is>
      </c>
      <c r="G8" t="inlineStr">
        <is>
          <t>51.93989583</t>
        </is>
      </c>
      <c r="H8" t="inlineStr">
        <is>
          <t>0.774</t>
        </is>
      </c>
    </row>
    <row r="9">
      <c r="A9" t="inlineStr">
        <is>
          <t>Black spot on ear</t>
        </is>
      </c>
      <c r="C9" t="inlineStr">
        <is>
          <t>E</t>
        </is>
      </c>
      <c r="E9" t="inlineStr">
        <is>
          <t>33</t>
        </is>
      </c>
      <c r="F9" t="inlineStr">
        <is>
          <t>36.5</t>
        </is>
      </c>
      <c r="G9" t="inlineStr">
        <is>
          <t>132.495</t>
        </is>
      </c>
      <c r="H9" t="inlineStr">
        <is>
          <t>1.3</t>
        </is>
      </c>
    </row>
    <row r="31">
      <c r="A31" t="inlineStr">
        <is>
          <t>30 day Weights 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24" customWidth="1" min="4" max="4"/>
    <col width="12" customWidth="1" min="5" max="5"/>
    <col width="16" customWidth="1" min="6" max="6"/>
    <col width="16" customWidth="1" min="7" max="7"/>
    <col width="40" customWidth="1" min="8" max="8"/>
  </cols>
  <sheetData>
    <row r="1">
      <c r="A1" s="4" t="inlineStr">
        <is>
          <t>Imported On</t>
        </is>
      </c>
      <c r="B1" s="4" t="inlineStr">
        <is>
          <t>File</t>
        </is>
      </c>
      <c r="C1" s="4" t="inlineStr">
        <is>
          <t>Type</t>
        </is>
      </c>
      <c r="D1" s="4" t="inlineStr">
        <is>
          <t>Parsed Name</t>
        </is>
      </c>
      <c r="E1" s="4" t="inlineStr">
        <is>
          <t>Tag</t>
        </is>
      </c>
      <c r="F1" s="4" t="inlineStr">
        <is>
          <t>Rows Added (PERF)</t>
        </is>
      </c>
      <c r="G1" s="4" t="inlineStr">
        <is>
          <t>Rows Added (MED)</t>
        </is>
      </c>
      <c r="H1" s="4" t="inlineStr">
        <is>
          <t>Note</t>
        </is>
      </c>
    </row>
    <row r="2">
      <c r="A2" t="inlineStr">
        <is>
          <t>2026-01-07</t>
        </is>
      </c>
      <c r="B2" t="inlineStr">
        <is>
          <t>Manatee Creek - FM1.csv</t>
        </is>
      </c>
      <c r="C2" t="inlineStr">
        <is>
          <t>ANIMAL_CSV</t>
        </is>
      </c>
      <c r="D2" t="inlineStr">
        <is>
          <t>FM1</t>
        </is>
      </c>
      <c r="F2" t="n">
        <v>0</v>
      </c>
      <c r="G2" t="n">
        <v>0</v>
      </c>
      <c r="H2" t="inlineStr">
        <is>
          <t>Imported &amp; merged</t>
        </is>
      </c>
    </row>
    <row r="3">
      <c r="A3" t="inlineStr">
        <is>
          <t>2026-01-07</t>
        </is>
      </c>
      <c r="B3" t="inlineStr">
        <is>
          <t>Manatee Creek - FM (E).csv</t>
        </is>
      </c>
      <c r="C3" t="inlineStr">
        <is>
          <t>ANIMAL_CSV</t>
        </is>
      </c>
      <c r="D3" t="inlineStr">
        <is>
          <t>FM</t>
        </is>
      </c>
      <c r="E3" t="inlineStr">
        <is>
          <t>Ga1568</t>
        </is>
      </c>
      <c r="F3" t="n">
        <v>0</v>
      </c>
      <c r="G3" t="n">
        <v>0</v>
      </c>
      <c r="H3" t="inlineStr">
        <is>
          <t>Imported &amp; merged</t>
        </is>
      </c>
    </row>
    <row r="4">
      <c r="A4" t="inlineStr">
        <is>
          <t>2026-01-07</t>
        </is>
      </c>
      <c r="B4" t="inlineStr">
        <is>
          <t>Manatee Creek - Serendipity (E).csv</t>
        </is>
      </c>
      <c r="C4" t="inlineStr">
        <is>
          <t>ANIMAL_CSV</t>
        </is>
      </c>
      <c r="D4" t="inlineStr">
        <is>
          <t>Serendipity</t>
        </is>
      </c>
      <c r="F4" t="n">
        <v>0</v>
      </c>
      <c r="G4" t="n">
        <v>0</v>
      </c>
      <c r="H4" t="inlineStr">
        <is>
          <t>Imported &amp; merged</t>
        </is>
      </c>
    </row>
    <row r="5">
      <c r="A5" t="inlineStr">
        <is>
          <t>2026-01-07</t>
        </is>
      </c>
      <c r="B5" t="inlineStr">
        <is>
          <t>Manatee Creek - Pretzal (E).csv</t>
        </is>
      </c>
      <c r="C5" t="inlineStr">
        <is>
          <t>ANIMAL_CSV</t>
        </is>
      </c>
      <c r="D5" t="inlineStr">
        <is>
          <t>Pretzal</t>
        </is>
      </c>
      <c r="F5" t="n">
        <v>0</v>
      </c>
      <c r="G5" t="n">
        <v>0</v>
      </c>
      <c r="H5" t="inlineStr">
        <is>
          <t>Imported &amp; merged</t>
        </is>
      </c>
    </row>
    <row r="6">
      <c r="A6" t="inlineStr">
        <is>
          <t>2026-01-07</t>
        </is>
      </c>
      <c r="B6" t="inlineStr">
        <is>
          <t>Manatee Creek - 2022 30 day weights.csv</t>
        </is>
      </c>
      <c r="C6" t="inlineStr">
        <is>
          <t>RAW_TABLE</t>
        </is>
      </c>
      <c r="F6" t="n">
        <v>0</v>
      </c>
      <c r="G6" t="n">
        <v>0</v>
      </c>
      <c r="H6" t="inlineStr">
        <is>
          <t>Imported raw 30-day weights table</t>
        </is>
      </c>
    </row>
    <row r="7">
      <c r="A7" t="inlineStr">
        <is>
          <t>2026-01-07</t>
        </is>
      </c>
      <c r="B7" t="inlineStr">
        <is>
          <t>Manatee Creek - Costs.csv</t>
        </is>
      </c>
      <c r="C7" t="inlineStr">
        <is>
          <t>RAW_TABLE</t>
        </is>
      </c>
      <c r="F7" t="n">
        <v>0</v>
      </c>
      <c r="G7" t="n">
        <v>0</v>
      </c>
      <c r="H7" t="inlineStr">
        <is>
          <t>Imported raw costs table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12" customWidth="1" min="4" max="4"/>
    <col width="8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48" customWidth="1" min="12" max="12"/>
  </cols>
  <sheetData>
    <row r="1">
      <c r="A1" s="4" t="inlineStr">
        <is>
          <t>Imported On</t>
        </is>
      </c>
      <c r="B1" s="4" t="inlineStr">
        <is>
          <t>File</t>
        </is>
      </c>
      <c r="C1" s="4" t="inlineStr">
        <is>
          <t>Parsed Name</t>
        </is>
      </c>
      <c r="D1" s="4" t="inlineStr">
        <is>
          <t>Tag</t>
        </is>
      </c>
      <c r="E1" s="4" t="inlineStr">
        <is>
          <t>Sex</t>
        </is>
      </c>
      <c r="F1" s="4" t="inlineStr">
        <is>
          <t>DOB</t>
        </is>
      </c>
      <c r="G1" s="4" t="inlineStr">
        <is>
          <t>Sire</t>
        </is>
      </c>
      <c r="H1" s="4" t="inlineStr">
        <is>
          <t>Dam</t>
        </is>
      </c>
      <c r="I1" s="4" t="inlineStr">
        <is>
          <t>BreedMix Sum</t>
        </is>
      </c>
      <c r="J1" s="4" t="inlineStr">
        <is>
          <t>Famacha Rows</t>
        </is>
      </c>
      <c r="K1" s="4" t="inlineStr">
        <is>
          <t>FEC Rows</t>
        </is>
      </c>
      <c r="L1" s="4" t="inlineStr">
        <is>
          <t>Note/Skip</t>
        </is>
      </c>
    </row>
    <row r="2">
      <c r="A2" t="inlineStr">
        <is>
          <t>2026-01-07</t>
        </is>
      </c>
      <c r="B2" t="inlineStr">
        <is>
          <t>Manatee Creek - Banana.csv</t>
        </is>
      </c>
      <c r="C2" t="inlineStr">
        <is>
          <t>Banana</t>
        </is>
      </c>
      <c r="E2" t="inlineStr">
        <is>
          <t>E</t>
        </is>
      </c>
      <c r="G2" t="inlineStr">
        <is>
          <t>Sir Loin</t>
        </is>
      </c>
      <c r="H2" t="inlineStr">
        <is>
          <t>Anna</t>
        </is>
      </c>
      <c r="I2" t="n">
        <v>100</v>
      </c>
      <c r="J2" t="n">
        <v>0</v>
      </c>
      <c r="K2" t="n">
        <v>0</v>
      </c>
      <c r="L2" t="inlineStr">
        <is>
          <t>parsed</t>
        </is>
      </c>
    </row>
    <row r="3">
      <c r="A3" t="inlineStr">
        <is>
          <t>2026-01-07</t>
        </is>
      </c>
      <c r="B3" t="inlineStr">
        <is>
          <t>Manatee Creek - Black Spot on Ear Daughter (e).csv</t>
        </is>
      </c>
      <c r="C3" t="inlineStr">
        <is>
          <t>Black Spot on Ear Daughter</t>
        </is>
      </c>
      <c r="E3" t="inlineStr">
        <is>
          <t>E</t>
        </is>
      </c>
      <c r="G3" t="inlineStr">
        <is>
          <t>Sir Loin</t>
        </is>
      </c>
      <c r="H3" t="inlineStr">
        <is>
          <t>BSOE</t>
        </is>
      </c>
      <c r="I3" t="n">
        <v>100</v>
      </c>
      <c r="J3" t="n">
        <v>0</v>
      </c>
      <c r="K3" t="n">
        <v>0</v>
      </c>
      <c r="L3" t="inlineStr">
        <is>
          <t>parsed</t>
        </is>
      </c>
    </row>
    <row r="4">
      <c r="A4" t="inlineStr">
        <is>
          <t>2026-01-07</t>
        </is>
      </c>
      <c r="B4" t="inlineStr">
        <is>
          <t>Manatee Creek - Chipolte Spicy Boi BT1 (R).csv</t>
        </is>
      </c>
      <c r="C4" t="inlineStr">
        <is>
          <t>Chipoitle Spicy Boi (Bt1)</t>
        </is>
      </c>
      <c r="E4" t="inlineStr">
        <is>
          <t>R</t>
        </is>
      </c>
      <c r="F4" t="inlineStr">
        <is>
          <t>2-7-22</t>
        </is>
      </c>
      <c r="G4" t="inlineStr">
        <is>
          <t>Sir Loin</t>
        </is>
      </c>
      <c r="H4" t="inlineStr">
        <is>
          <t>Broken Tail</t>
        </is>
      </c>
      <c r="I4" t="n">
        <v>450</v>
      </c>
      <c r="J4" t="n">
        <v>0</v>
      </c>
      <c r="K4" t="n">
        <v>0</v>
      </c>
      <c r="L4" t="inlineStr">
        <is>
          <t>parsed</t>
        </is>
      </c>
    </row>
    <row r="5">
      <c r="A5" t="inlineStr">
        <is>
          <t>2026-01-07</t>
        </is>
      </c>
      <c r="B5" t="inlineStr">
        <is>
          <t>Manatee Creek - Black Spot on Ear (E).csv</t>
        </is>
      </c>
      <c r="C5" t="inlineStr">
        <is>
          <t>Black Spot on Ear</t>
        </is>
      </c>
      <c r="E5" t="inlineStr">
        <is>
          <t>E</t>
        </is>
      </c>
      <c r="G5" t="inlineStr">
        <is>
          <t>Sir Loin</t>
        </is>
      </c>
      <c r="H5" t="inlineStr">
        <is>
          <t>Two Pence</t>
        </is>
      </c>
      <c r="I5" t="n">
        <v>100</v>
      </c>
      <c r="J5" t="n">
        <v>0</v>
      </c>
      <c r="K5" t="n">
        <v>0</v>
      </c>
      <c r="L5" t="inlineStr">
        <is>
          <t>parsed</t>
        </is>
      </c>
    </row>
    <row r="6">
      <c r="A6" t="inlineStr">
        <is>
          <t>2026-01-07</t>
        </is>
      </c>
      <c r="B6" t="inlineStr">
        <is>
          <t>Manatee Creek - Broken Tail.csv</t>
        </is>
      </c>
      <c r="C6" t="inlineStr">
        <is>
          <t>Broken Tail</t>
        </is>
      </c>
      <c r="E6" t="inlineStr">
        <is>
          <t>E</t>
        </is>
      </c>
      <c r="G6" t="inlineStr">
        <is>
          <t>Sir Loin</t>
        </is>
      </c>
      <c r="H6" t="inlineStr">
        <is>
          <t>Half Tail</t>
        </is>
      </c>
      <c r="I6" t="n">
        <v>93.75</v>
      </c>
      <c r="J6" t="n">
        <v>0</v>
      </c>
      <c r="K6" t="n">
        <v>0</v>
      </c>
      <c r="L6" t="inlineStr">
        <is>
          <t>parsed</t>
        </is>
      </c>
    </row>
    <row r="7">
      <c r="A7" t="inlineStr">
        <is>
          <t>2026-01-07</t>
        </is>
      </c>
      <c r="B7" t="inlineStr">
        <is>
          <t>Manatee Creek - Pretzal (E).csv</t>
        </is>
      </c>
      <c r="C7" t="inlineStr">
        <is>
          <t>Pretzal</t>
        </is>
      </c>
      <c r="E7" t="inlineStr">
        <is>
          <t>E</t>
        </is>
      </c>
      <c r="F7" t="inlineStr">
        <is>
          <t>1-24-22</t>
        </is>
      </c>
      <c r="G7" t="inlineStr">
        <is>
          <t>?</t>
        </is>
      </c>
      <c r="H7" t="inlineStr">
        <is>
          <t>?</t>
        </is>
      </c>
      <c r="J7" t="n">
        <v>0</v>
      </c>
      <c r="K7" t="n">
        <v>0</v>
      </c>
      <c r="L7" t="inlineStr">
        <is>
          <t>parsed</t>
        </is>
      </c>
    </row>
    <row r="8">
      <c r="A8" t="inlineStr">
        <is>
          <t>2026-01-07</t>
        </is>
      </c>
      <c r="B8" t="inlineStr">
        <is>
          <t>Manatee Creek - Third Ewe (E).csv</t>
        </is>
      </c>
      <c r="C8" t="inlineStr">
        <is>
          <t>Third Ewe</t>
        </is>
      </c>
      <c r="E8" t="inlineStr">
        <is>
          <t>E</t>
        </is>
      </c>
      <c r="G8" t="inlineStr">
        <is>
          <t>Sir Loin</t>
        </is>
      </c>
      <c r="H8" t="inlineStr">
        <is>
          <t>Other Ewe</t>
        </is>
      </c>
      <c r="I8" t="n">
        <v>575</v>
      </c>
      <c r="J8" t="n">
        <v>0</v>
      </c>
      <c r="K8" t="n">
        <v>0</v>
      </c>
      <c r="L8" t="inlineStr">
        <is>
          <t>parsed</t>
        </is>
      </c>
    </row>
    <row r="9">
      <c r="A9" t="inlineStr">
        <is>
          <t>2026-01-07</t>
        </is>
      </c>
      <c r="B9" t="inlineStr">
        <is>
          <t>Manatee Creek - S'more.csv</t>
        </is>
      </c>
      <c r="C9" t="inlineStr">
        <is>
          <t>S'More</t>
        </is>
      </c>
      <c r="E9" t="inlineStr">
        <is>
          <t>R</t>
        </is>
      </c>
      <c r="F9" t="inlineStr">
        <is>
          <t>1-14-21</t>
        </is>
      </c>
      <c r="I9" t="n">
        <v>100</v>
      </c>
      <c r="J9" t="n">
        <v>0</v>
      </c>
      <c r="K9" t="n">
        <v>0</v>
      </c>
      <c r="L9" t="inlineStr">
        <is>
          <t>parsed</t>
        </is>
      </c>
    </row>
    <row r="10">
      <c r="A10" t="inlineStr">
        <is>
          <t>2026-01-07</t>
        </is>
      </c>
      <c r="B10" t="inlineStr">
        <is>
          <t>Manatee Creek - Banana Split (E).csv</t>
        </is>
      </c>
      <c r="C10" t="inlineStr">
        <is>
          <t>Black Spot on Ear Daughter</t>
        </is>
      </c>
      <c r="E10" t="inlineStr">
        <is>
          <t>E</t>
        </is>
      </c>
      <c r="G10" t="inlineStr">
        <is>
          <t>Sir Loin</t>
        </is>
      </c>
      <c r="H10" t="inlineStr">
        <is>
          <t>Black Spot on Ear</t>
        </is>
      </c>
      <c r="I10" t="n">
        <v>575</v>
      </c>
      <c r="J10" t="n">
        <v>0</v>
      </c>
      <c r="K10" t="n">
        <v>0</v>
      </c>
      <c r="L10" t="inlineStr">
        <is>
          <t>parsed</t>
        </is>
      </c>
    </row>
    <row r="11">
      <c r="A11" t="inlineStr">
        <is>
          <t>2026-01-07</t>
        </is>
      </c>
      <c r="B11" t="inlineStr">
        <is>
          <t>Manatee Creek - FM (E).csv</t>
        </is>
      </c>
      <c r="C11" t="inlineStr">
        <is>
          <t>FM</t>
        </is>
      </c>
      <c r="D11" t="inlineStr">
        <is>
          <t>Ga1568</t>
        </is>
      </c>
      <c r="E11" t="inlineStr">
        <is>
          <t>E</t>
        </is>
      </c>
      <c r="F11" t="inlineStr">
        <is>
          <t>2-14-21</t>
        </is>
      </c>
      <c r="G11" t="inlineStr">
        <is>
          <t>Tunis</t>
        </is>
      </c>
      <c r="H11" t="inlineStr">
        <is>
          <t>Cotswald</t>
        </is>
      </c>
      <c r="I11" t="n">
        <v>100</v>
      </c>
      <c r="J11" t="n">
        <v>0</v>
      </c>
      <c r="K11" t="n">
        <v>0</v>
      </c>
      <c r="L11" t="inlineStr">
        <is>
          <t>parsed</t>
        </is>
      </c>
    </row>
    <row r="12">
      <c r="A12" t="inlineStr">
        <is>
          <t>2026-01-07</t>
        </is>
      </c>
      <c r="B12" t="inlineStr">
        <is>
          <t>Manatee Creek - FM1.csv</t>
        </is>
      </c>
      <c r="C12" t="inlineStr">
        <is>
          <t>FM1</t>
        </is>
      </c>
      <c r="G12" t="inlineStr">
        <is>
          <t>Sir Loin</t>
        </is>
      </c>
      <c r="H12" t="inlineStr">
        <is>
          <t>FM</t>
        </is>
      </c>
      <c r="I12" t="n">
        <v>100</v>
      </c>
      <c r="J12" t="n">
        <v>0</v>
      </c>
      <c r="K12" t="n">
        <v>0</v>
      </c>
      <c r="L12" t="inlineStr">
        <is>
          <t>parsed</t>
        </is>
      </c>
    </row>
    <row r="13">
      <c r="A13" t="inlineStr">
        <is>
          <t>2026-01-07</t>
        </is>
      </c>
      <c r="B13" t="inlineStr">
        <is>
          <t>Manatee Creek - Serendipity (E).csv</t>
        </is>
      </c>
      <c r="C13" t="inlineStr">
        <is>
          <t>Serendipity</t>
        </is>
      </c>
      <c r="E13" t="inlineStr">
        <is>
          <t>E</t>
        </is>
      </c>
      <c r="F13" t="inlineStr">
        <is>
          <t>3-25-22</t>
        </is>
      </c>
      <c r="G13" t="inlineStr">
        <is>
          <t>Sirloin</t>
        </is>
      </c>
      <c r="H13" t="inlineStr">
        <is>
          <t>Shaggy</t>
        </is>
      </c>
      <c r="I13" t="n">
        <v>100</v>
      </c>
      <c r="J13" t="n">
        <v>0</v>
      </c>
      <c r="K13" t="n">
        <v>0</v>
      </c>
      <c r="L13" t="inlineStr">
        <is>
          <t>parsed</t>
        </is>
      </c>
    </row>
    <row r="14">
      <c r="A14" t="inlineStr">
        <is>
          <t>2026-01-07</t>
        </is>
      </c>
      <c r="B14" t="inlineStr">
        <is>
          <t>Manatee Creek - 2241 (e).csv</t>
        </is>
      </c>
      <c r="C14" t="inlineStr">
        <is>
          <t>2241</t>
        </is>
      </c>
      <c r="D14" t="inlineStr">
        <is>
          <t>2241</t>
        </is>
      </c>
      <c r="I14" t="n">
        <v>100</v>
      </c>
      <c r="J14" t="n">
        <v>1</v>
      </c>
      <c r="K14" t="n">
        <v>0</v>
      </c>
      <c r="L14" t="inlineStr">
        <is>
          <t>parsed</t>
        </is>
      </c>
    </row>
    <row r="15">
      <c r="A15" t="inlineStr">
        <is>
          <t>2026-01-07</t>
        </is>
      </c>
      <c r="B15" t="inlineStr">
        <is>
          <t>Manatee Creek - OAV 2223 (r) (Kelsier).csv</t>
        </is>
      </c>
      <c r="C15" t="inlineStr">
        <is>
          <t>Oav 2223</t>
        </is>
      </c>
      <c r="E15" t="inlineStr">
        <is>
          <t>R</t>
        </is>
      </c>
      <c r="F15" t="inlineStr">
        <is>
          <t>12-21-22</t>
        </is>
      </c>
      <c r="I15" t="n">
        <v>100</v>
      </c>
      <c r="J15" t="n">
        <v>0</v>
      </c>
      <c r="K15" t="n">
        <v>9</v>
      </c>
      <c r="L15" t="inlineStr">
        <is>
          <t>parsed</t>
        </is>
      </c>
    </row>
    <row r="16">
      <c r="A16" t="inlineStr">
        <is>
          <t>2026-01-07</t>
        </is>
      </c>
      <c r="B16" t="inlineStr">
        <is>
          <t>Manatee Creek - GG (Gentle Giant).csv</t>
        </is>
      </c>
      <c r="C16" t="inlineStr">
        <is>
          <t>Fl51870 - 0502 (Pen 1-2)</t>
        </is>
      </c>
      <c r="E16" t="inlineStr">
        <is>
          <t>0</t>
        </is>
      </c>
      <c r="I16" t="n">
        <v>100</v>
      </c>
      <c r="J16" t="n">
        <v>1</v>
      </c>
      <c r="K16" t="n">
        <v>0</v>
      </c>
      <c r="L16" t="inlineStr">
        <is>
          <t>parsed</t>
        </is>
      </c>
    </row>
    <row r="17">
      <c r="A17" t="inlineStr">
        <is>
          <t>2026-01-07</t>
        </is>
      </c>
      <c r="B17" t="inlineStr">
        <is>
          <t>Manatee Creek - Elsie (E).csv</t>
        </is>
      </c>
      <c r="C17" t="inlineStr">
        <is>
          <t>Elsie</t>
        </is>
      </c>
      <c r="E17" t="inlineStr">
        <is>
          <t>E</t>
        </is>
      </c>
      <c r="F17" t="inlineStr">
        <is>
          <t>2-8-22</t>
        </is>
      </c>
      <c r="G17" t="inlineStr">
        <is>
          <t>Well Done</t>
        </is>
      </c>
      <c r="H17" t="inlineStr">
        <is>
          <t>Halftail</t>
        </is>
      </c>
      <c r="I17" t="n">
        <v>100</v>
      </c>
      <c r="J17" t="n">
        <v>2</v>
      </c>
      <c r="K17" t="n">
        <v>0</v>
      </c>
      <c r="L17" t="inlineStr">
        <is>
          <t>parsed</t>
        </is>
      </c>
    </row>
    <row r="18">
      <c r="A18" t="inlineStr">
        <is>
          <t>2026-01-07</t>
        </is>
      </c>
      <c r="B18" t="inlineStr">
        <is>
          <t>Manatee Creek - Buck (Kat x Awassi).csv</t>
        </is>
      </c>
      <c r="C18" t="inlineStr">
        <is>
          <t>Kat x awassi</t>
        </is>
      </c>
      <c r="I18" t="n">
        <v>100</v>
      </c>
      <c r="J18" t="n">
        <v>0</v>
      </c>
      <c r="K18" t="n">
        <v>0</v>
      </c>
      <c r="L18" t="inlineStr">
        <is>
          <t>parsed</t>
        </is>
      </c>
    </row>
    <row r="19">
      <c r="A19" t="inlineStr">
        <is>
          <t>2026-01-07</t>
        </is>
      </c>
      <c r="B19" t="inlineStr">
        <is>
          <t>Manatee Creek - Serendipity.csv</t>
        </is>
      </c>
      <c r="C19" t="inlineStr">
        <is>
          <t>Serendipity</t>
        </is>
      </c>
      <c r="D19" t="inlineStr">
        <is>
          <t>30</t>
        </is>
      </c>
      <c r="G19" t="inlineStr">
        <is>
          <t>Sir Loin</t>
        </is>
      </c>
      <c r="H19" t="inlineStr">
        <is>
          <t>Shaggy</t>
        </is>
      </c>
      <c r="I19" t="n">
        <v>100</v>
      </c>
      <c r="J19" t="n">
        <v>1</v>
      </c>
      <c r="K19" t="n">
        <v>0</v>
      </c>
      <c r="L19" t="inlineStr">
        <is>
          <t>parsed</t>
        </is>
      </c>
    </row>
    <row r="20">
      <c r="A20" t="inlineStr">
        <is>
          <t>2026-01-07</t>
        </is>
      </c>
      <c r="B20" t="inlineStr">
        <is>
          <t>Manatee Creek - Nori.csv</t>
        </is>
      </c>
      <c r="C20" t="inlineStr">
        <is>
          <t>Nori</t>
        </is>
      </c>
      <c r="E20" t="inlineStr">
        <is>
          <t>E</t>
        </is>
      </c>
      <c r="F20" t="inlineStr">
        <is>
          <t>?</t>
        </is>
      </c>
      <c r="G20" t="inlineStr">
        <is>
          <t>100% ABB</t>
        </is>
      </c>
      <c r="H20" t="inlineStr">
        <is>
          <t>100% Wiltshire Horn</t>
        </is>
      </c>
      <c r="I20" t="n">
        <v>100</v>
      </c>
      <c r="J20" t="n">
        <v>0</v>
      </c>
      <c r="K20" t="n">
        <v>0</v>
      </c>
      <c r="L20" t="inlineStr">
        <is>
          <t>parsed</t>
        </is>
      </c>
    </row>
    <row r="21">
      <c r="A21" t="inlineStr">
        <is>
          <t>2026-01-07</t>
        </is>
      </c>
      <c r="B21" t="inlineStr">
        <is>
          <t>Manatee Creek - OAV 2222(e).csv</t>
        </is>
      </c>
      <c r="C21" t="inlineStr">
        <is>
          <t>OAV 2222</t>
        </is>
      </c>
      <c r="I21" t="n">
        <v>100</v>
      </c>
      <c r="J21" t="n">
        <v>1</v>
      </c>
      <c r="K21" t="n">
        <v>0</v>
      </c>
      <c r="L21" t="inlineStr">
        <is>
          <t>parsed</t>
        </is>
      </c>
    </row>
    <row r="22">
      <c r="A22" t="inlineStr">
        <is>
          <t>2026-01-07</t>
        </is>
      </c>
      <c r="B22" t="inlineStr">
        <is>
          <t>Manatee Creek - Little Daisy(e).csv</t>
        </is>
      </c>
      <c r="F22" t="inlineStr">
        <is>
          <t>3-23-23</t>
        </is>
      </c>
      <c r="G22" t="inlineStr">
        <is>
          <t>Dodge</t>
        </is>
      </c>
      <c r="H22" t="inlineStr">
        <is>
          <t>Daisy</t>
        </is>
      </c>
      <c r="I22" t="n">
        <v>99.97500000000001</v>
      </c>
      <c r="J22" t="n">
        <v>0</v>
      </c>
      <c r="K22" t="n">
        <v>0</v>
      </c>
      <c r="L22" t="inlineStr">
        <is>
          <t>parsed</t>
        </is>
      </c>
    </row>
    <row r="23">
      <c r="A23" t="inlineStr">
        <is>
          <t>2026-01-07</t>
        </is>
      </c>
      <c r="B23" t="inlineStr">
        <is>
          <t>Manatee Creek - 2022 30 day weights.csv</t>
        </is>
      </c>
      <c r="L23" t="inlineStr">
        <is>
          <t>SKIPPED: No (Name,Breed) header found</t>
        </is>
      </c>
    </row>
    <row r="24">
      <c r="A24" t="inlineStr">
        <is>
          <t>2026-01-07</t>
        </is>
      </c>
      <c r="B24" t="inlineStr">
        <is>
          <t>Manatee Creek - Costs.csv</t>
        </is>
      </c>
      <c r="L24" t="inlineStr">
        <is>
          <t>SKIPPED: No (Name,Breed) header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Sheep Breeding Database (Template)</t>
        </is>
      </c>
    </row>
    <row r="3" ht="18" customHeight="1">
      <c r="A3" s="2" t="inlineStr">
        <is>
          <t>Purpose</t>
        </is>
      </c>
    </row>
    <row r="4" ht="18" customHeight="1">
      <c r="A4" t="inlineStr">
        <is>
          <t>Track animals, pedigrees, performance, parasite resilience, and hair/meat traits — then generate a safe, optimized mating plan (low inbreeding + lambing safety).</t>
        </is>
      </c>
    </row>
    <row r="5" ht="18" customHeight="1"/>
    <row r="6" ht="18" customHeight="1">
      <c r="A6" s="2" t="inlineStr">
        <is>
          <t>How to use (recommended workflow)</t>
        </is>
      </c>
    </row>
    <row r="7" ht="18" customHeight="1">
      <c r="A7" t="inlineStr">
        <is>
          <t>1) Fill ANIMALS (one row per sheep). Use your own permanent AnimalID even if tags are missing.</t>
        </is>
      </c>
    </row>
    <row r="8" ht="18" customHeight="1">
      <c r="A8" t="inlineStr">
        <is>
          <t>2) Fill BREED_MIX using non‑zero breed %s (the superset list lives in BREED_SUPERSET).</t>
        </is>
      </c>
    </row>
    <row r="9" ht="18" customHeight="1">
      <c r="A9" t="inlineStr">
        <is>
          <t>3) Enter PERFORMANCE records (FAMACHA, FEC, DEWORM events, weights, shedding scores, etc.).</t>
        </is>
      </c>
    </row>
    <row r="10" ht="18" customHeight="1">
      <c r="A10" t="inlineStr">
        <is>
          <t>4) Optional: Enter MEDICAL events.</t>
        </is>
      </c>
    </row>
    <row r="11" ht="18" customHeight="1">
      <c r="A11" t="inlineStr">
        <is>
          <t>5) Set weights &amp; safety rules in WEIGHTS_&amp;_RULES (trait weights, inbreeding max, ewe‑lamb restrictions).</t>
        </is>
      </c>
    </row>
    <row r="12" ht="18" customHeight="1">
      <c r="A12" t="inlineStr">
        <is>
          <t>6) Review INDEX and PEN_STATS (auto-calculated).</t>
        </is>
      </c>
    </row>
    <row r="13" ht="18" customHeight="1">
      <c r="A13" t="inlineStr">
        <is>
          <t>7) Build your breeding assignments in MATING_PLAN. Paste pairwise relatedness/F_offspring in RELATIONSHIPS if available.</t>
        </is>
      </c>
    </row>
    <row r="14" ht="18" customHeight="1"/>
    <row r="15" ht="18" customHeight="1">
      <c r="A15" s="2" t="inlineStr">
        <is>
          <t>Color legend</t>
        </is>
      </c>
    </row>
    <row r="16" ht="18" customHeight="1">
      <c r="A16" s="3" t="inlineStr">
        <is>
          <t>Blue text</t>
        </is>
      </c>
      <c r="B16" t="inlineStr">
        <is>
          <t>Inputs you type/change</t>
        </is>
      </c>
    </row>
    <row r="17" ht="18" customHeight="1">
      <c r="A17" s="3" t="inlineStr">
        <is>
          <t>Black text</t>
        </is>
      </c>
      <c r="B17" t="inlineStr">
        <is>
          <t>Formulas / calculated</t>
        </is>
      </c>
    </row>
    <row r="18" ht="18" customHeight="1">
      <c r="A18" s="3" t="inlineStr">
        <is>
          <t>Light red fill</t>
        </is>
      </c>
      <c r="B18" t="inlineStr">
        <is>
          <t>Fails a safety rule (e.g., inbreeding cap, required fields missing)</t>
        </is>
      </c>
    </row>
    <row r="19" ht="18" customHeight="1">
      <c r="A19" s="3" t="inlineStr">
        <is>
          <t>Light yellow fill</t>
        </is>
      </c>
      <c r="B19" t="inlineStr">
        <is>
          <t>Needs attention / missing data (not fatal)</t>
        </is>
      </c>
    </row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2" customWidth="1" min="4" max="4"/>
    <col width="8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36" customWidth="1" min="12" max="12"/>
  </cols>
  <sheetData>
    <row r="1">
      <c r="A1" s="34" t="inlineStr">
        <is>
          <t>Imported On</t>
        </is>
      </c>
      <c r="B1" s="34" t="inlineStr">
        <is>
          <t>File</t>
        </is>
      </c>
      <c r="C1" s="34" t="inlineStr">
        <is>
          <t>Parsed Name</t>
        </is>
      </c>
      <c r="D1" s="34" t="inlineStr">
        <is>
          <t>Tag</t>
        </is>
      </c>
      <c r="E1" s="34" t="inlineStr">
        <is>
          <t>Sex</t>
        </is>
      </c>
      <c r="F1" s="34" t="inlineStr">
        <is>
          <t>DOB</t>
        </is>
      </c>
      <c r="G1" s="34" t="inlineStr">
        <is>
          <t>Sire</t>
        </is>
      </c>
      <c r="H1" s="34" t="inlineStr">
        <is>
          <t>Dam</t>
        </is>
      </c>
      <c r="I1" s="34" t="inlineStr">
        <is>
          <t>BreedMix Sum</t>
        </is>
      </c>
      <c r="J1" s="34" t="inlineStr">
        <is>
          <t>Famacha Rows</t>
        </is>
      </c>
      <c r="K1" s="34" t="inlineStr">
        <is>
          <t>FEC Rows</t>
        </is>
      </c>
      <c r="L1" s="34" t="inlineStr">
        <is>
          <t>Warnings</t>
        </is>
      </c>
    </row>
    <row r="2">
      <c r="A2" t="inlineStr">
        <is>
          <t>2026-01-06</t>
        </is>
      </c>
      <c r="B2" t="inlineStr">
        <is>
          <t>Manatee Creek - 2241 (e).csv</t>
        </is>
      </c>
      <c r="C2" t="inlineStr">
        <is>
          <t>2241</t>
        </is>
      </c>
      <c r="D2" t="inlineStr">
        <is>
          <t>2241</t>
        </is>
      </c>
      <c r="I2" t="n">
        <v>100</v>
      </c>
      <c r="J2" t="n">
        <v>1</v>
      </c>
      <c r="K2" t="n">
        <v>0</v>
      </c>
    </row>
    <row r="3">
      <c r="A3" t="inlineStr">
        <is>
          <t>2026-01-06</t>
        </is>
      </c>
      <c r="B3" t="inlineStr">
        <is>
          <t>Manatee Creek - Buck (Kat x Awassi).csv</t>
        </is>
      </c>
      <c r="C3" t="inlineStr">
        <is>
          <t>Kat x awassi</t>
        </is>
      </c>
      <c r="I3" t="n">
        <v>100</v>
      </c>
      <c r="J3" t="n">
        <v>0</v>
      </c>
      <c r="K3" t="n">
        <v>0</v>
      </c>
    </row>
    <row r="4">
      <c r="A4" t="inlineStr">
        <is>
          <t>2026-01-06</t>
        </is>
      </c>
      <c r="B4" t="inlineStr">
        <is>
          <t>Manatee Creek - OAV 2223 (r) (Kelsier).csv</t>
        </is>
      </c>
      <c r="C4" t="inlineStr">
        <is>
          <t>Oav 2223</t>
        </is>
      </c>
      <c r="E4" t="inlineStr">
        <is>
          <t>R</t>
        </is>
      </c>
      <c r="F4" t="inlineStr">
        <is>
          <t>12-21-22</t>
        </is>
      </c>
      <c r="I4" t="n">
        <v>100</v>
      </c>
      <c r="J4" t="n">
        <v>0</v>
      </c>
      <c r="K4" t="n">
        <v>9</v>
      </c>
    </row>
    <row r="5">
      <c r="A5" t="inlineStr">
        <is>
          <t>2026-01-06</t>
        </is>
      </c>
      <c r="B5" t="inlineStr">
        <is>
          <t>Manatee Creek - Broken Tail.csv</t>
        </is>
      </c>
      <c r="C5" t="inlineStr">
        <is>
          <t>Broken Tail</t>
        </is>
      </c>
      <c r="E5" t="inlineStr">
        <is>
          <t>E</t>
        </is>
      </c>
      <c r="G5" t="inlineStr">
        <is>
          <t>Sir Loin</t>
        </is>
      </c>
      <c r="H5" t="inlineStr">
        <is>
          <t>Half Tail</t>
        </is>
      </c>
      <c r="I5" t="n">
        <v>93.75</v>
      </c>
      <c r="J5" t="n">
        <v>0</v>
      </c>
      <c r="K5" t="n">
        <v>0</v>
      </c>
    </row>
    <row r="6">
      <c r="A6" t="inlineStr">
        <is>
          <t>2026-01-06</t>
        </is>
      </c>
      <c r="B6" t="inlineStr">
        <is>
          <t>Manatee Creek - GG (Gentle Giant).csv</t>
        </is>
      </c>
      <c r="C6" t="inlineStr">
        <is>
          <t>Fl51870 - 0502 (Pen 1-2)</t>
        </is>
      </c>
      <c r="E6" t="inlineStr">
        <is>
          <t>0</t>
        </is>
      </c>
      <c r="I6" t="n">
        <v>100</v>
      </c>
      <c r="J6" t="n">
        <v>0</v>
      </c>
      <c r="K6" t="n">
        <v>0</v>
      </c>
    </row>
    <row r="7">
      <c r="A7" t="inlineStr">
        <is>
          <t>2026-01-06</t>
        </is>
      </c>
      <c r="B7" t="inlineStr">
        <is>
          <t>Manatee Creek - OAV 2222(e).csv</t>
        </is>
      </c>
      <c r="C7" t="inlineStr">
        <is>
          <t>OAV 2222</t>
        </is>
      </c>
      <c r="I7" t="n">
        <v>100</v>
      </c>
      <c r="J7" t="n">
        <v>0</v>
      </c>
      <c r="K7" t="n">
        <v>0</v>
      </c>
    </row>
    <row r="8">
      <c r="A8" t="inlineStr">
        <is>
          <t>2026-01-06</t>
        </is>
      </c>
      <c r="B8" t="inlineStr">
        <is>
          <t>Manatee Creek - Serendipity.csv</t>
        </is>
      </c>
      <c r="C8" t="inlineStr">
        <is>
          <t>Serendipity</t>
        </is>
      </c>
      <c r="D8" t="inlineStr">
        <is>
          <t>30</t>
        </is>
      </c>
      <c r="G8" t="inlineStr">
        <is>
          <t>Sir Loin</t>
        </is>
      </c>
      <c r="H8" t="inlineStr">
        <is>
          <t>Shaggy</t>
        </is>
      </c>
      <c r="I8" t="n">
        <v>100</v>
      </c>
      <c r="J8" t="n">
        <v>1</v>
      </c>
      <c r="K8" t="n">
        <v>0</v>
      </c>
    </row>
    <row r="9">
      <c r="A9" t="inlineStr">
        <is>
          <t>2026-01-06</t>
        </is>
      </c>
      <c r="B9" t="inlineStr">
        <is>
          <t>Manatee Creek - Nori.csv</t>
        </is>
      </c>
      <c r="C9" t="inlineStr">
        <is>
          <t>Nori</t>
        </is>
      </c>
      <c r="E9" t="inlineStr">
        <is>
          <t>E</t>
        </is>
      </c>
      <c r="F9" t="inlineStr">
        <is>
          <t>?</t>
        </is>
      </c>
      <c r="G9" t="inlineStr">
        <is>
          <t>100% ABB</t>
        </is>
      </c>
      <c r="H9" t="inlineStr">
        <is>
          <t>100% Wiltshire Horn</t>
        </is>
      </c>
      <c r="I9" t="n">
        <v>100</v>
      </c>
      <c r="J9" t="n">
        <v>0</v>
      </c>
      <c r="K9" t="n">
        <v>0</v>
      </c>
    </row>
    <row r="10">
      <c r="A10" t="inlineStr">
        <is>
          <t>2026-01-06</t>
        </is>
      </c>
      <c r="B10" t="inlineStr">
        <is>
          <t>Manatee Creek - Elsie (E).csv</t>
        </is>
      </c>
      <c r="C10" t="inlineStr">
        <is>
          <t>Elsie</t>
        </is>
      </c>
      <c r="E10" t="inlineStr">
        <is>
          <t>E</t>
        </is>
      </c>
      <c r="F10" t="inlineStr">
        <is>
          <t>2-8-22</t>
        </is>
      </c>
      <c r="G10" t="inlineStr">
        <is>
          <t>Well Done</t>
        </is>
      </c>
      <c r="H10" t="inlineStr">
        <is>
          <t>Halftail</t>
        </is>
      </c>
      <c r="I10" t="n">
        <v>100</v>
      </c>
      <c r="J10" t="n">
        <v>2</v>
      </c>
      <c r="K10" t="n">
        <v>0</v>
      </c>
    </row>
    <row r="11">
      <c r="A11" t="inlineStr">
        <is>
          <t>2026-01-06</t>
        </is>
      </c>
      <c r="B11" t="inlineStr">
        <is>
          <t>Manatee Creek - Little Daisy(e).csv</t>
        </is>
      </c>
      <c r="F11" t="inlineStr">
        <is>
          <t>3-23-23</t>
        </is>
      </c>
      <c r="G11" t="inlineStr">
        <is>
          <t>Dodge</t>
        </is>
      </c>
      <c r="H11" t="inlineStr">
        <is>
          <t>Daisy</t>
        </is>
      </c>
      <c r="I11" t="n">
        <v>99.97500000000001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8" customWidth="1" min="6" max="6"/>
    <col width="44" customWidth="1" min="7" max="7"/>
    <col width="22" customWidth="1" min="8" max="8"/>
  </cols>
  <sheetData>
    <row r="1">
      <c r="A1" s="34" t="inlineStr">
        <is>
          <t>As Of</t>
        </is>
      </c>
      <c r="B1" s="34" t="inlineStr">
        <is>
          <t>Pen</t>
        </is>
      </c>
      <c r="C1" s="34" t="inlineStr">
        <is>
          <t>Group</t>
        </is>
      </c>
      <c r="D1" s="34" t="inlineStr">
        <is>
          <t>Display Name</t>
        </is>
      </c>
      <c r="E1" s="34" t="inlineStr">
        <is>
          <t>Tag/ID</t>
        </is>
      </c>
      <c r="F1" s="34" t="inlineStr">
        <is>
          <t>Sex</t>
        </is>
      </c>
      <c r="G1" s="34" t="inlineStr">
        <is>
          <t>Notes</t>
        </is>
      </c>
      <c r="H1" s="34" t="inlineStr">
        <is>
          <t>Needs Review?</t>
        </is>
      </c>
    </row>
    <row r="2">
      <c r="A2" s="35" t="inlineStr">
        <is>
          <t>2026-01-06</t>
        </is>
      </c>
      <c r="B2" s="35" t="inlineStr">
        <is>
          <t>Pen 1</t>
        </is>
      </c>
      <c r="C2" s="35" t="inlineStr">
        <is>
          <t>Ram</t>
        </is>
      </c>
      <c r="D2" s="35" t="inlineStr">
        <is>
          <t>00110</t>
        </is>
      </c>
      <c r="E2" s="35" t="inlineStr">
        <is>
          <t>00110</t>
        </is>
      </c>
      <c r="F2" s="35" t="inlineStr">
        <is>
          <t>R</t>
        </is>
      </c>
      <c r="G2" s="35" t="inlineStr">
        <is>
          <t>orange tag</t>
        </is>
      </c>
      <c r="H2" s="35" t="inlineStr"/>
    </row>
    <row r="3">
      <c r="A3" s="35" t="inlineStr">
        <is>
          <t>2026-01-06</t>
        </is>
      </c>
      <c r="B3" s="35" t="inlineStr">
        <is>
          <t>Pen 1</t>
        </is>
      </c>
      <c r="C3" s="35" t="inlineStr">
        <is>
          <t>Ram</t>
        </is>
      </c>
      <c r="D3" s="35" t="inlineStr">
        <is>
          <t>Twin ram (brown &amp; white)</t>
        </is>
      </c>
      <c r="E3" s="35" t="inlineStr"/>
      <c r="F3" s="35" t="inlineStr">
        <is>
          <t>R</t>
        </is>
      </c>
      <c r="G3" s="35" t="inlineStr">
        <is>
          <t>no ID given</t>
        </is>
      </c>
      <c r="H3" s="35" t="inlineStr">
        <is>
          <t>missing tag/ID</t>
        </is>
      </c>
    </row>
    <row r="4">
      <c r="A4" s="35" t="inlineStr">
        <is>
          <t>2026-01-06</t>
        </is>
      </c>
      <c r="B4" s="35" t="inlineStr">
        <is>
          <t>Pen 1</t>
        </is>
      </c>
      <c r="C4" s="35" t="inlineStr">
        <is>
          <t>Ram</t>
        </is>
      </c>
      <c r="D4" s="35" t="inlineStr">
        <is>
          <t>Twin ram (black &amp; white)</t>
        </is>
      </c>
      <c r="E4" s="35" t="inlineStr"/>
      <c r="F4" s="35" t="inlineStr">
        <is>
          <t>R</t>
        </is>
      </c>
      <c r="G4" s="35" t="inlineStr">
        <is>
          <t>no ID given</t>
        </is>
      </c>
      <c r="H4" s="35" t="inlineStr">
        <is>
          <t>missing tag/ID</t>
        </is>
      </c>
    </row>
    <row r="5">
      <c r="A5" s="35" t="inlineStr">
        <is>
          <t>2026-01-06</t>
        </is>
      </c>
      <c r="B5" s="35" t="inlineStr">
        <is>
          <t>Pen 1</t>
        </is>
      </c>
      <c r="C5" s="35" t="inlineStr">
        <is>
          <t>Ewe</t>
        </is>
      </c>
      <c r="D5" s="35" t="inlineStr">
        <is>
          <t>003</t>
        </is>
      </c>
      <c r="E5" s="35" t="inlineStr">
        <is>
          <t>003</t>
        </is>
      </c>
      <c r="F5" s="35" t="inlineStr">
        <is>
          <t>E</t>
        </is>
      </c>
      <c r="G5" s="35" t="inlineStr">
        <is>
          <t>hair</t>
        </is>
      </c>
      <c r="H5" s="35" t="inlineStr"/>
    </row>
    <row r="6">
      <c r="A6" s="35" t="inlineStr">
        <is>
          <t>2026-01-06</t>
        </is>
      </c>
      <c r="B6" s="35" t="inlineStr">
        <is>
          <t>Pen 1</t>
        </is>
      </c>
      <c r="C6" s="35" t="inlineStr">
        <is>
          <t>Ewe</t>
        </is>
      </c>
      <c r="D6" s="35" t="inlineStr">
        <is>
          <t>Azure</t>
        </is>
      </c>
      <c r="E6" s="35" t="inlineStr">
        <is>
          <t>20</t>
        </is>
      </c>
      <c r="F6" s="35" t="inlineStr">
        <is>
          <t>E</t>
        </is>
      </c>
      <c r="G6" s="35" t="inlineStr">
        <is>
          <t>also labeled Azure (20)</t>
        </is>
      </c>
      <c r="H6" s="35" t="inlineStr"/>
    </row>
    <row r="7">
      <c r="A7" s="35" t="inlineStr">
        <is>
          <t>2026-01-06</t>
        </is>
      </c>
      <c r="B7" s="35" t="inlineStr">
        <is>
          <t>Pen 1</t>
        </is>
      </c>
      <c r="C7" s="35" t="inlineStr">
        <is>
          <t>Ewe</t>
        </is>
      </c>
      <c r="D7" s="35" t="inlineStr">
        <is>
          <t>0044</t>
        </is>
      </c>
      <c r="E7" s="35" t="inlineStr">
        <is>
          <t>0044</t>
        </is>
      </c>
      <c r="F7" s="35" t="inlineStr">
        <is>
          <t>E</t>
        </is>
      </c>
      <c r="G7" s="35" t="inlineStr">
        <is>
          <t>fluffy</t>
        </is>
      </c>
      <c r="H7" s="35" t="inlineStr"/>
    </row>
    <row r="8">
      <c r="A8" s="35" t="inlineStr">
        <is>
          <t>2026-01-06</t>
        </is>
      </c>
      <c r="B8" s="35" t="inlineStr">
        <is>
          <t>Pen 1</t>
        </is>
      </c>
      <c r="C8" s="35" t="inlineStr">
        <is>
          <t>Ewe</t>
        </is>
      </c>
      <c r="D8" s="35" t="inlineStr">
        <is>
          <t>Charlie's ewe 2</t>
        </is>
      </c>
      <c r="E8" s="35" t="inlineStr"/>
      <c r="F8" s="35" t="inlineStr">
        <is>
          <t>E</t>
        </is>
      </c>
      <c r="G8" s="35" t="inlineStr">
        <is>
          <t>name-based ID needed</t>
        </is>
      </c>
      <c r="H8" s="35" t="inlineStr">
        <is>
          <t>missing tag/ID; assign house ID</t>
        </is>
      </c>
    </row>
    <row r="9">
      <c r="A9" s="35" t="inlineStr">
        <is>
          <t>2026-01-06</t>
        </is>
      </c>
      <c r="B9" s="35" t="inlineStr">
        <is>
          <t>Pen 1</t>
        </is>
      </c>
      <c r="C9" s="35" t="inlineStr">
        <is>
          <t>Ram lamb</t>
        </is>
      </c>
      <c r="D9" s="35" t="inlineStr">
        <is>
          <t>Ram lamb (brown &amp; white)</t>
        </is>
      </c>
      <c r="E9" s="35" t="inlineStr"/>
      <c r="F9" s="35" t="inlineStr">
        <is>
          <t>R</t>
        </is>
      </c>
      <c r="G9" s="35" t="inlineStr">
        <is>
          <t>no ID given</t>
        </is>
      </c>
      <c r="H9" s="35" t="inlineStr">
        <is>
          <t>missing tag/ID</t>
        </is>
      </c>
    </row>
    <row r="10">
      <c r="A10" s="35" t="inlineStr">
        <is>
          <t>2026-01-06</t>
        </is>
      </c>
      <c r="B10" s="35" t="inlineStr">
        <is>
          <t>Pen 2</t>
        </is>
      </c>
      <c r="C10" s="35" t="inlineStr">
        <is>
          <t>Ram</t>
        </is>
      </c>
      <c r="D10" s="35" t="inlineStr">
        <is>
          <t>Jerk Face</t>
        </is>
      </c>
      <c r="E10" s="35" t="inlineStr"/>
      <c r="F10" s="35" t="inlineStr">
        <is>
          <t>R</t>
        </is>
      </c>
      <c r="G10" s="35" t="inlineStr">
        <is>
          <t>no tag</t>
        </is>
      </c>
      <c r="H10" s="35" t="inlineStr">
        <is>
          <t>missing tag/ID</t>
        </is>
      </c>
    </row>
    <row r="11">
      <c r="A11" s="35" t="inlineStr">
        <is>
          <t>2026-01-06</t>
        </is>
      </c>
      <c r="B11" s="35" t="inlineStr">
        <is>
          <t>Pen 2</t>
        </is>
      </c>
      <c r="C11" s="35" t="inlineStr">
        <is>
          <t>Ewe</t>
        </is>
      </c>
      <c r="D11" s="35" t="inlineStr">
        <is>
          <t>0053</t>
        </is>
      </c>
      <c r="E11" s="35" t="inlineStr">
        <is>
          <t>0053</t>
        </is>
      </c>
      <c r="F11" s="35" t="inlineStr">
        <is>
          <t>E</t>
        </is>
      </c>
      <c r="G11" s="35" t="inlineStr">
        <is>
          <t>hair</t>
        </is>
      </c>
      <c r="H11" s="35" t="inlineStr"/>
    </row>
    <row r="12">
      <c r="A12" s="35" t="inlineStr">
        <is>
          <t>2026-01-06</t>
        </is>
      </c>
      <c r="B12" s="35" t="inlineStr">
        <is>
          <t>Pen 2</t>
        </is>
      </c>
      <c r="C12" s="35" t="inlineStr">
        <is>
          <t>Ewe</t>
        </is>
      </c>
      <c r="D12" s="35" t="inlineStr">
        <is>
          <t>114</t>
        </is>
      </c>
      <c r="E12" s="35" t="inlineStr">
        <is>
          <t>114</t>
        </is>
      </c>
      <c r="F12" s="35" t="inlineStr">
        <is>
          <t>E</t>
        </is>
      </c>
      <c r="G12" s="35" t="inlineStr">
        <is>
          <t>fawn; sister to 00110</t>
        </is>
      </c>
      <c r="H12" s="35" t="inlineStr"/>
    </row>
    <row r="13">
      <c r="A13" s="35" t="inlineStr">
        <is>
          <t>2026-01-06</t>
        </is>
      </c>
      <c r="B13" s="35" t="inlineStr">
        <is>
          <t>Pen 3</t>
        </is>
      </c>
      <c r="C13" s="35" t="inlineStr">
        <is>
          <t>Ram</t>
        </is>
      </c>
      <c r="D13" s="35" t="inlineStr">
        <is>
          <t>Merrie</t>
        </is>
      </c>
      <c r="E13" s="35" t="inlineStr">
        <is>
          <t>00016</t>
        </is>
      </c>
      <c r="F13" s="35" t="inlineStr">
        <is>
          <t>R</t>
        </is>
      </c>
      <c r="G13" s="35" t="inlineStr">
        <is>
          <t>also referenced as Merrie (00016)</t>
        </is>
      </c>
      <c r="H13" s="35" t="inlineStr"/>
    </row>
    <row r="14">
      <c r="A14" s="35" t="inlineStr">
        <is>
          <t>2026-01-06</t>
        </is>
      </c>
      <c r="B14" s="35" t="inlineStr">
        <is>
          <t>Pen 3</t>
        </is>
      </c>
      <c r="C14" s="35" t="inlineStr">
        <is>
          <t>Ram</t>
        </is>
      </c>
      <c r="D14" s="35" t="inlineStr">
        <is>
          <t>Charlie</t>
        </is>
      </c>
      <c r="E14" s="35" t="inlineStr"/>
      <c r="F14" s="35" t="inlineStr">
        <is>
          <t>R</t>
        </is>
      </c>
      <c r="G14" s="35" t="inlineStr">
        <is>
          <t>no tag</t>
        </is>
      </c>
      <c r="H14" s="35" t="inlineStr">
        <is>
          <t>missing tag/ID</t>
        </is>
      </c>
    </row>
    <row r="15">
      <c r="A15" s="35" t="inlineStr">
        <is>
          <t>2026-01-06</t>
        </is>
      </c>
      <c r="B15" s="35" t="inlineStr">
        <is>
          <t>Pen 3</t>
        </is>
      </c>
      <c r="C15" s="35" t="inlineStr">
        <is>
          <t>Ewe</t>
        </is>
      </c>
      <c r="D15" s="35" t="inlineStr">
        <is>
          <t>Nori</t>
        </is>
      </c>
      <c r="E15" s="35" t="inlineStr">
        <is>
          <t>0029</t>
        </is>
      </c>
      <c r="F15" s="35" t="inlineStr">
        <is>
          <t>E</t>
        </is>
      </c>
      <c r="G15" s="35" t="inlineStr">
        <is>
          <t>tag 0029</t>
        </is>
      </c>
      <c r="H15" s="35" t="inlineStr"/>
    </row>
    <row r="16">
      <c r="A16" s="35" t="inlineStr">
        <is>
          <t>2026-01-06</t>
        </is>
      </c>
      <c r="B16" s="35" t="inlineStr">
        <is>
          <t>Pen 3</t>
        </is>
      </c>
      <c r="C16" s="35" t="inlineStr">
        <is>
          <t>Ewe</t>
        </is>
      </c>
      <c r="D16" s="35" t="inlineStr">
        <is>
          <t>Broken Tail</t>
        </is>
      </c>
      <c r="E16" s="35" t="inlineStr"/>
      <c r="F16" s="35" t="inlineStr">
        <is>
          <t>E</t>
        </is>
      </c>
      <c r="G16" s="35" t="inlineStr">
        <is>
          <t>tag lost</t>
        </is>
      </c>
      <c r="H16" s="35" t="inlineStr">
        <is>
          <t>missing tag/ID</t>
        </is>
      </c>
    </row>
    <row r="17">
      <c r="A17" s="35" t="inlineStr">
        <is>
          <t>2026-01-06</t>
        </is>
      </c>
      <c r="B17" s="35" t="inlineStr">
        <is>
          <t>Pen 3</t>
        </is>
      </c>
      <c r="C17" s="35" t="inlineStr">
        <is>
          <t>Ewe lamb</t>
        </is>
      </c>
      <c r="D17" s="35" t="inlineStr">
        <is>
          <t>Ewe lamb (Broken Tail x Charlie) #1</t>
        </is>
      </c>
      <c r="E17" s="35" t="inlineStr"/>
      <c r="F17" s="35" t="inlineStr">
        <is>
          <t>E</t>
        </is>
      </c>
      <c r="G17" s="35" t="inlineStr">
        <is>
          <t>twin</t>
        </is>
      </c>
      <c r="H17" s="35" t="inlineStr">
        <is>
          <t>missing tag/ID</t>
        </is>
      </c>
    </row>
    <row r="18">
      <c r="A18" s="35" t="inlineStr">
        <is>
          <t>2026-01-06</t>
        </is>
      </c>
      <c r="B18" s="35" t="inlineStr">
        <is>
          <t>Pen 3</t>
        </is>
      </c>
      <c r="C18" s="35" t="inlineStr">
        <is>
          <t>Ewe lamb</t>
        </is>
      </c>
      <c r="D18" s="35" t="inlineStr">
        <is>
          <t>Ewe lamb (Broken Tail x Charlie) #2</t>
        </is>
      </c>
      <c r="E18" s="35" t="inlineStr"/>
      <c r="F18" s="35" t="inlineStr">
        <is>
          <t>E</t>
        </is>
      </c>
      <c r="G18" s="35" t="inlineStr">
        <is>
          <t>twin</t>
        </is>
      </c>
      <c r="H18" s="35" t="inlineStr">
        <is>
          <t>missing tag/ID</t>
        </is>
      </c>
    </row>
    <row r="19">
      <c r="A19" s="35" t="inlineStr">
        <is>
          <t>2026-01-06</t>
        </is>
      </c>
      <c r="B19" s="35" t="inlineStr">
        <is>
          <t>Pen 3</t>
        </is>
      </c>
      <c r="C19" s="35" t="inlineStr">
        <is>
          <t>Ewe</t>
        </is>
      </c>
      <c r="D19" s="35" t="inlineStr">
        <is>
          <t>Charlie's ewe</t>
        </is>
      </c>
      <c r="E19" s="35" t="inlineStr"/>
      <c r="F19" s="35" t="inlineStr">
        <is>
          <t>E</t>
        </is>
      </c>
      <c r="G19" s="35" t="inlineStr">
        <is>
          <t>name-based ID needed</t>
        </is>
      </c>
      <c r="H19" s="35" t="inlineStr">
        <is>
          <t>missing tag/ID; assign house ID</t>
        </is>
      </c>
    </row>
    <row r="20">
      <c r="A20" s="35" t="inlineStr">
        <is>
          <t>2026-01-06</t>
        </is>
      </c>
      <c r="B20" s="35" t="inlineStr">
        <is>
          <t>Pen 3</t>
        </is>
      </c>
      <c r="C20" s="35" t="inlineStr">
        <is>
          <t>Ewe lamb</t>
        </is>
      </c>
      <c r="D20" s="35" t="inlineStr">
        <is>
          <t>Ewe lamb (unidentified)</t>
        </is>
      </c>
      <c r="E20" s="35" t="inlineStr"/>
      <c r="F20" s="35" t="inlineStr">
        <is>
          <t>E</t>
        </is>
      </c>
      <c r="G20" s="35" t="inlineStr">
        <is>
          <t>no ID given</t>
        </is>
      </c>
      <c r="H20" s="35" t="inlineStr">
        <is>
          <t>missing tag/ID</t>
        </is>
      </c>
    </row>
    <row r="21">
      <c r="A21" s="35" t="inlineStr">
        <is>
          <t>2026-01-06</t>
        </is>
      </c>
      <c r="B21" s="35" t="inlineStr">
        <is>
          <t>Pen 4</t>
        </is>
      </c>
      <c r="C21" s="35" t="inlineStr">
        <is>
          <t>Ewe</t>
        </is>
      </c>
      <c r="D21" s="35" t="inlineStr">
        <is>
          <t>0023</t>
        </is>
      </c>
      <c r="E21" s="35" t="inlineStr">
        <is>
          <t>0023</t>
        </is>
      </c>
      <c r="F21" s="35" t="inlineStr">
        <is>
          <t>E</t>
        </is>
      </c>
      <c r="G21" s="35" t="inlineStr"/>
      <c r="H21" s="35" t="inlineStr"/>
    </row>
    <row r="22">
      <c r="A22" s="35" t="inlineStr">
        <is>
          <t>2026-01-06</t>
        </is>
      </c>
      <c r="B22" s="35" t="inlineStr">
        <is>
          <t>Pen 4</t>
        </is>
      </c>
      <c r="C22" s="35" t="inlineStr">
        <is>
          <t>Ewe</t>
        </is>
      </c>
      <c r="D22" s="35" t="inlineStr">
        <is>
          <t>0011</t>
        </is>
      </c>
      <c r="E22" s="35" t="inlineStr">
        <is>
          <t>0011</t>
        </is>
      </c>
      <c r="F22" s="35" t="inlineStr">
        <is>
          <t>E</t>
        </is>
      </c>
      <c r="G22" s="35" t="inlineStr">
        <is>
          <t>wooly</t>
        </is>
      </c>
      <c r="H22" s="35" t="inlineStr"/>
    </row>
    <row r="23">
      <c r="A23" s="35" t="inlineStr">
        <is>
          <t>2026-01-06</t>
        </is>
      </c>
      <c r="B23" s="35" t="inlineStr">
        <is>
          <t>Pen 4</t>
        </is>
      </c>
      <c r="C23" s="35" t="inlineStr">
        <is>
          <t>Ewe</t>
        </is>
      </c>
      <c r="D23" s="35" t="inlineStr">
        <is>
          <t>Gigi</t>
        </is>
      </c>
      <c r="E23" s="35" t="inlineStr"/>
      <c r="F23" s="35" t="inlineStr">
        <is>
          <t>E</t>
        </is>
      </c>
      <c r="G23" s="35" t="inlineStr">
        <is>
          <t>no tag</t>
        </is>
      </c>
      <c r="H23" s="35" t="inlineStr">
        <is>
          <t>missing tag/ID</t>
        </is>
      </c>
    </row>
    <row r="24">
      <c r="A24" s="35" t="inlineStr">
        <is>
          <t>2026-01-06</t>
        </is>
      </c>
      <c r="B24" s="35" t="inlineStr">
        <is>
          <t>Pen 4</t>
        </is>
      </c>
      <c r="C24" s="35" t="inlineStr">
        <is>
          <t>Ewe</t>
        </is>
      </c>
      <c r="D24" s="35" t="inlineStr">
        <is>
          <t>Fms daughter</t>
        </is>
      </c>
      <c r="E24" s="35" t="inlineStr"/>
      <c r="F24" s="35" t="inlineStr">
        <is>
          <t>E</t>
        </is>
      </c>
      <c r="G24" s="35" t="inlineStr">
        <is>
          <t>lost tag</t>
        </is>
      </c>
      <c r="H24" s="35" t="inlineStr">
        <is>
          <t>missing tag/ID</t>
        </is>
      </c>
    </row>
    <row r="25">
      <c r="A25" s="35" t="inlineStr">
        <is>
          <t>2026-01-06</t>
        </is>
      </c>
      <c r="B25" s="35" t="inlineStr">
        <is>
          <t>Pen 4</t>
        </is>
      </c>
      <c r="C25" s="35" t="inlineStr">
        <is>
          <t>Ewe</t>
        </is>
      </c>
      <c r="D25" s="35" t="inlineStr">
        <is>
          <t>Serendipity</t>
        </is>
      </c>
      <c r="E25" s="35" t="inlineStr"/>
      <c r="F25" s="35" t="inlineStr">
        <is>
          <t>E</t>
        </is>
      </c>
      <c r="G25" s="35" t="inlineStr">
        <is>
          <t>no tag</t>
        </is>
      </c>
      <c r="H25" s="35" t="inlineStr">
        <is>
          <t>missing tag/ID</t>
        </is>
      </c>
    </row>
    <row r="26">
      <c r="A26" s="35" t="inlineStr">
        <is>
          <t>2026-01-06</t>
        </is>
      </c>
      <c r="B26" s="35" t="inlineStr">
        <is>
          <t>Pen 4</t>
        </is>
      </c>
      <c r="C26" s="35" t="inlineStr">
        <is>
          <t>Ram lamb</t>
        </is>
      </c>
      <c r="D26" s="35" t="inlineStr">
        <is>
          <t>Ram lamb (white)</t>
        </is>
      </c>
      <c r="E26" s="35" t="inlineStr"/>
      <c r="F26" s="35" t="inlineStr">
        <is>
          <t>R</t>
        </is>
      </c>
      <c r="G26" s="35" t="inlineStr">
        <is>
          <t>no ID given</t>
        </is>
      </c>
      <c r="H26" s="35" t="inlineStr">
        <is>
          <t>missing tag/ID</t>
        </is>
      </c>
    </row>
    <row r="27">
      <c r="A27" s="35" t="inlineStr">
        <is>
          <t>2026-01-06</t>
        </is>
      </c>
      <c r="B27" s="35" t="inlineStr">
        <is>
          <t>Pen 4</t>
        </is>
      </c>
      <c r="C27" s="35" t="inlineStr">
        <is>
          <t>Ewe lamb</t>
        </is>
      </c>
      <c r="D27" s="35" t="inlineStr">
        <is>
          <t>Ewe lamb (black)</t>
        </is>
      </c>
      <c r="E27" s="35" t="inlineStr"/>
      <c r="F27" s="35" t="inlineStr">
        <is>
          <t>E</t>
        </is>
      </c>
      <c r="G27" s="35" t="inlineStr">
        <is>
          <t>no ID given</t>
        </is>
      </c>
      <c r="H27" s="35" t="inlineStr">
        <is>
          <t>missing tag/ID</t>
        </is>
      </c>
    </row>
    <row r="28">
      <c r="A28" s="35" t="inlineStr">
        <is>
          <t>2026-01-06</t>
        </is>
      </c>
      <c r="B28" s="35" t="inlineStr">
        <is>
          <t>Pen 4</t>
        </is>
      </c>
      <c r="C28" s="35" t="inlineStr">
        <is>
          <t>Ewe</t>
        </is>
      </c>
      <c r="D28" s="35" t="inlineStr">
        <is>
          <t>0051</t>
        </is>
      </c>
      <c r="E28" s="35" t="inlineStr">
        <is>
          <t>0051</t>
        </is>
      </c>
      <c r="F28" s="35" t="inlineStr">
        <is>
          <t>E</t>
        </is>
      </c>
      <c r="G28" s="35" t="inlineStr"/>
      <c r="H28" s="35" t="inlineStr"/>
    </row>
    <row r="29">
      <c r="A29" s="35" t="inlineStr">
        <is>
          <t>2026-01-06</t>
        </is>
      </c>
      <c r="B29" s="35" t="inlineStr">
        <is>
          <t>Pen 5</t>
        </is>
      </c>
      <c r="C29" s="35" t="inlineStr">
        <is>
          <t>Ram</t>
        </is>
      </c>
      <c r="D29" s="35" t="inlineStr">
        <is>
          <t>113</t>
        </is>
      </c>
      <c r="E29" s="35" t="inlineStr">
        <is>
          <t>113</t>
        </is>
      </c>
      <c r="F29" s="35" t="inlineStr">
        <is>
          <t>R</t>
        </is>
      </c>
      <c r="G29" s="35" t="inlineStr"/>
      <c r="H29" s="35" t="inlineStr"/>
    </row>
    <row r="30">
      <c r="A30" s="35" t="inlineStr">
        <is>
          <t>2026-01-06</t>
        </is>
      </c>
      <c r="B30" s="35" t="inlineStr">
        <is>
          <t>Pen 5</t>
        </is>
      </c>
      <c r="C30" s="35" t="inlineStr">
        <is>
          <t>Ewe</t>
        </is>
      </c>
      <c r="D30" s="35" t="inlineStr">
        <is>
          <t>02</t>
        </is>
      </c>
      <c r="E30" s="35" t="inlineStr">
        <is>
          <t>02</t>
        </is>
      </c>
      <c r="F30" s="35" t="inlineStr">
        <is>
          <t>E</t>
        </is>
      </c>
      <c r="G30" s="35" t="inlineStr"/>
      <c r="H30" s="35" t="inlineStr"/>
    </row>
    <row r="31">
      <c r="A31" s="35" t="inlineStr">
        <is>
          <t>2026-01-06</t>
        </is>
      </c>
      <c r="B31" s="35" t="inlineStr">
        <is>
          <t>Pen 5</t>
        </is>
      </c>
      <c r="C31" s="35" t="inlineStr">
        <is>
          <t>Ewe</t>
        </is>
      </c>
      <c r="D31" s="35" t="inlineStr">
        <is>
          <t>31</t>
        </is>
      </c>
      <c r="E31" s="35" t="inlineStr">
        <is>
          <t>31</t>
        </is>
      </c>
      <c r="F31" s="35" t="inlineStr">
        <is>
          <t>E</t>
        </is>
      </c>
      <c r="G31" s="35" t="inlineStr"/>
      <c r="H31" s="35" t="inlineStr"/>
    </row>
    <row r="32">
      <c r="A32" s="35" t="inlineStr">
        <is>
          <t>2026-01-06</t>
        </is>
      </c>
      <c r="B32" s="35" t="inlineStr">
        <is>
          <t>Pen 5</t>
        </is>
      </c>
      <c r="C32" s="35" t="inlineStr">
        <is>
          <t>Unknown</t>
        </is>
      </c>
      <c r="D32" s="35" t="inlineStr">
        <is>
          <t>No-tag wooly fawn long-ears</t>
        </is>
      </c>
      <c r="E32" s="35" t="inlineStr"/>
      <c r="F32" s="35" t="inlineStr"/>
      <c r="G32" s="35" t="inlineStr">
        <is>
          <t>sex not stated</t>
        </is>
      </c>
      <c r="H32" s="35" t="inlineStr">
        <is>
          <t>missing tag/ID; missing sex</t>
        </is>
      </c>
    </row>
    <row r="33">
      <c r="A33" s="35" t="inlineStr">
        <is>
          <t>2026-01-06</t>
        </is>
      </c>
      <c r="B33" s="35" t="inlineStr">
        <is>
          <t>Pen 6</t>
        </is>
      </c>
      <c r="C33" s="35" t="inlineStr">
        <is>
          <t>Ram</t>
        </is>
      </c>
      <c r="D33" s="35" t="inlineStr">
        <is>
          <t>Mc08</t>
        </is>
      </c>
      <c r="E33" s="35" t="inlineStr"/>
      <c r="F33" s="35" t="inlineStr">
        <is>
          <t>R</t>
        </is>
      </c>
      <c r="G33" s="35" t="inlineStr">
        <is>
          <t>no tag in list</t>
        </is>
      </c>
      <c r="H33" s="35" t="inlineStr">
        <is>
          <t>missing tag/ID</t>
        </is>
      </c>
    </row>
    <row r="34">
      <c r="A34" s="35" t="inlineStr">
        <is>
          <t>2026-01-06</t>
        </is>
      </c>
      <c r="B34" s="35" t="inlineStr">
        <is>
          <t>Pen 6</t>
        </is>
      </c>
      <c r="C34" s="35" t="inlineStr">
        <is>
          <t>Ewe</t>
        </is>
      </c>
      <c r="D34" s="35" t="inlineStr">
        <is>
          <t>Elsie</t>
        </is>
      </c>
      <c r="E34" s="35" t="inlineStr"/>
      <c r="F34" s="35" t="inlineStr">
        <is>
          <t>E</t>
        </is>
      </c>
      <c r="G34" s="35" t="inlineStr">
        <is>
          <t>no tag; recently triplets</t>
        </is>
      </c>
      <c r="H34" s="35" t="inlineStr">
        <is>
          <t>missing tag/ID</t>
        </is>
      </c>
    </row>
    <row r="35">
      <c r="A35" s="35" t="inlineStr">
        <is>
          <t>2026-01-06</t>
        </is>
      </c>
      <c r="B35" s="35" t="inlineStr">
        <is>
          <t>Pen 6</t>
        </is>
      </c>
      <c r="C35" s="35" t="inlineStr">
        <is>
          <t>Ewe lamb</t>
        </is>
      </c>
      <c r="D35" s="35" t="inlineStr">
        <is>
          <t>Ewe lamb (Elsie) white #1</t>
        </is>
      </c>
      <c r="E35" s="35" t="inlineStr"/>
      <c r="F35" s="35" t="inlineStr">
        <is>
          <t>E</t>
        </is>
      </c>
      <c r="G35" s="35" t="inlineStr">
        <is>
          <t>triplets 2026-01-06</t>
        </is>
      </c>
      <c r="H35" s="35" t="inlineStr">
        <is>
          <t>missing tag/ID</t>
        </is>
      </c>
    </row>
    <row r="36">
      <c r="A36" s="35" t="inlineStr">
        <is>
          <t>2026-01-06</t>
        </is>
      </c>
      <c r="B36" s="35" t="inlineStr">
        <is>
          <t>Pen 6</t>
        </is>
      </c>
      <c r="C36" s="35" t="inlineStr">
        <is>
          <t>Ewe lamb</t>
        </is>
      </c>
      <c r="D36" s="35" t="inlineStr">
        <is>
          <t>Ewe lamb (Elsie) white #2</t>
        </is>
      </c>
      <c r="E36" s="35" t="inlineStr"/>
      <c r="F36" s="35" t="inlineStr">
        <is>
          <t>E</t>
        </is>
      </c>
      <c r="G36" s="35" t="inlineStr">
        <is>
          <t>triplets 2026-01-06</t>
        </is>
      </c>
      <c r="H36" s="35" t="inlineStr">
        <is>
          <t>missing tag/ID</t>
        </is>
      </c>
    </row>
    <row r="37">
      <c r="A37" s="35" t="inlineStr">
        <is>
          <t>2026-01-06</t>
        </is>
      </c>
      <c r="B37" s="35" t="inlineStr">
        <is>
          <t>Pen 6</t>
        </is>
      </c>
      <c r="C37" s="35" t="inlineStr">
        <is>
          <t>Ram lamb</t>
        </is>
      </c>
      <c r="D37" s="35" t="inlineStr">
        <is>
          <t>Ram lamb (Elsie) black</t>
        </is>
      </c>
      <c r="E37" s="35" t="inlineStr"/>
      <c r="F37" s="35" t="inlineStr">
        <is>
          <t>R</t>
        </is>
      </c>
      <c r="G37" s="35" t="inlineStr">
        <is>
          <t>triplets 2026-01-06</t>
        </is>
      </c>
      <c r="H37" s="35" t="inlineStr">
        <is>
          <t>missing tag/ID</t>
        </is>
      </c>
    </row>
    <row r="38">
      <c r="A38" s="35" t="inlineStr">
        <is>
          <t>2026-01-06</t>
        </is>
      </c>
      <c r="B38" s="35" t="inlineStr">
        <is>
          <t>Pen 6</t>
        </is>
      </c>
      <c r="C38" s="35" t="inlineStr">
        <is>
          <t>Ewe</t>
        </is>
      </c>
      <c r="D38" s="35" t="inlineStr">
        <is>
          <t>2139</t>
        </is>
      </c>
      <c r="E38" s="35" t="inlineStr">
        <is>
          <t>2139</t>
        </is>
      </c>
      <c r="F38" s="35" t="inlineStr">
        <is>
          <t>E</t>
        </is>
      </c>
      <c r="G38" s="35" t="inlineStr">
        <is>
          <t>fat tail</t>
        </is>
      </c>
      <c r="H38" s="35" t="inlineStr"/>
    </row>
    <row r="39">
      <c r="A39" s="35" t="inlineStr">
        <is>
          <t>2026-01-06</t>
        </is>
      </c>
      <c r="B39" s="35" t="inlineStr">
        <is>
          <t>Pen 6</t>
        </is>
      </c>
      <c r="C39" s="35" t="inlineStr">
        <is>
          <t>Ewe</t>
        </is>
      </c>
      <c r="D39" s="35" t="inlineStr">
        <is>
          <t>0056</t>
        </is>
      </c>
      <c r="E39" s="35" t="inlineStr">
        <is>
          <t>0056</t>
        </is>
      </c>
      <c r="F39" s="35" t="inlineStr">
        <is>
          <t>E</t>
        </is>
      </c>
      <c r="G39" s="35" t="inlineStr">
        <is>
          <t>fat tail</t>
        </is>
      </c>
      <c r="H39" s="35" t="inlineStr"/>
    </row>
    <row r="40">
      <c r="A40" s="35" t="inlineStr">
        <is>
          <t>2026-01-06</t>
        </is>
      </c>
      <c r="B40" s="35" t="inlineStr">
        <is>
          <t>Pen 6</t>
        </is>
      </c>
      <c r="C40" s="35" t="inlineStr">
        <is>
          <t>Ewe</t>
        </is>
      </c>
      <c r="D40" s="35" t="inlineStr">
        <is>
          <t>0055</t>
        </is>
      </c>
      <c r="E40" s="35" t="inlineStr">
        <is>
          <t>0055</t>
        </is>
      </c>
      <c r="F40" s="35" t="inlineStr">
        <is>
          <t>E</t>
        </is>
      </c>
      <c r="G40" s="35" t="inlineStr">
        <is>
          <t>fat tail</t>
        </is>
      </c>
      <c r="H40" s="35" t="inlineStr"/>
    </row>
    <row r="41">
      <c r="A41" s="35" t="inlineStr">
        <is>
          <t>2026-01-06</t>
        </is>
      </c>
      <c r="B41" s="35" t="inlineStr">
        <is>
          <t>Pen 6</t>
        </is>
      </c>
      <c r="C41" s="35" t="inlineStr">
        <is>
          <t>Unknown</t>
        </is>
      </c>
      <c r="D41" s="35" t="inlineStr">
        <is>
          <t>2222 (OAV) - Kelsie's sister</t>
        </is>
      </c>
      <c r="E41" s="35" t="inlineStr">
        <is>
          <t>2222</t>
        </is>
      </c>
      <c r="F41" s="35" t="inlineStr"/>
      <c r="G41" s="35" t="inlineStr">
        <is>
          <t>sex not stated</t>
        </is>
      </c>
      <c r="H41" s="35" t="inlineStr">
        <is>
          <t>missing sex</t>
        </is>
      </c>
    </row>
    <row r="42">
      <c r="A42" s="35" t="inlineStr">
        <is>
          <t>2026-01-06</t>
        </is>
      </c>
      <c r="B42" s="35" t="inlineStr">
        <is>
          <t>Goose Pen</t>
        </is>
      </c>
      <c r="C42" s="35" t="inlineStr">
        <is>
          <t>Ram</t>
        </is>
      </c>
      <c r="D42" s="35" t="inlineStr">
        <is>
          <t>09</t>
        </is>
      </c>
      <c r="E42" s="35" t="inlineStr">
        <is>
          <t>09</t>
        </is>
      </c>
      <c r="F42" s="35" t="inlineStr">
        <is>
          <t>R</t>
        </is>
      </c>
      <c r="G42" s="35" t="inlineStr">
        <is>
          <t>Gigi's son</t>
        </is>
      </c>
      <c r="H42" s="35" t="inlineStr"/>
    </row>
    <row r="43">
      <c r="A43" s="35" t="inlineStr">
        <is>
          <t>2026-01-06</t>
        </is>
      </c>
      <c r="B43" s="35" t="inlineStr">
        <is>
          <t>Goose Pen</t>
        </is>
      </c>
      <c r="C43" s="35" t="inlineStr">
        <is>
          <t>Ram</t>
        </is>
      </c>
      <c r="D43" s="35" t="inlineStr">
        <is>
          <t>06</t>
        </is>
      </c>
      <c r="E43" s="35" t="inlineStr">
        <is>
          <t>06</t>
        </is>
      </c>
      <c r="F43" s="35" t="inlineStr">
        <is>
          <t>R</t>
        </is>
      </c>
      <c r="G43" s="35" t="inlineStr">
        <is>
          <t>white with tan knees</t>
        </is>
      </c>
      <c r="H43" s="35" t="inlineStr"/>
    </row>
    <row r="44">
      <c r="A44" s="35" t="inlineStr">
        <is>
          <t>2026-01-06</t>
        </is>
      </c>
      <c r="B44" s="35" t="inlineStr">
        <is>
          <t>Goose Pen</t>
        </is>
      </c>
      <c r="C44" s="35" t="inlineStr">
        <is>
          <t>Ram lamb</t>
        </is>
      </c>
      <c r="D44" s="35" t="inlineStr">
        <is>
          <t>Ram lamb (fawn to light tan)</t>
        </is>
      </c>
      <c r="E44" s="35" t="inlineStr"/>
      <c r="F44" s="35" t="inlineStr">
        <is>
          <t>R</t>
        </is>
      </c>
      <c r="G44" s="35" t="inlineStr">
        <is>
          <t>no tag</t>
        </is>
      </c>
      <c r="H44" s="35" t="inlineStr">
        <is>
          <t>missing tag/ID</t>
        </is>
      </c>
    </row>
    <row r="45">
      <c r="A45" s="35" t="inlineStr">
        <is>
          <t>2026-01-06</t>
        </is>
      </c>
      <c r="B45" s="35" t="inlineStr">
        <is>
          <t>Goose Pen</t>
        </is>
      </c>
      <c r="C45" s="35" t="inlineStr">
        <is>
          <t>Ewe</t>
        </is>
      </c>
      <c r="D45" s="35" t="inlineStr">
        <is>
          <t>50</t>
        </is>
      </c>
      <c r="E45" s="35" t="inlineStr">
        <is>
          <t>50</t>
        </is>
      </c>
      <c r="F45" s="35" t="inlineStr">
        <is>
          <t>E</t>
        </is>
      </c>
      <c r="G45" s="35" t="inlineStr">
        <is>
          <t>wooly tan</t>
        </is>
      </c>
      <c r="H45" s="35" t="inlineStr"/>
    </row>
    <row r="46">
      <c r="A46" s="35" t="inlineStr">
        <is>
          <t>2026-01-06</t>
        </is>
      </c>
      <c r="B46" s="35" t="inlineStr">
        <is>
          <t>Goose Pen</t>
        </is>
      </c>
      <c r="C46" s="35" t="inlineStr">
        <is>
          <t>Ewe</t>
        </is>
      </c>
      <c r="D46" s="35" t="inlineStr">
        <is>
          <t>49</t>
        </is>
      </c>
      <c r="E46" s="35" t="inlineStr">
        <is>
          <t>49</t>
        </is>
      </c>
      <c r="F46" s="35" t="inlineStr">
        <is>
          <t>E</t>
        </is>
      </c>
      <c r="G46" s="35" t="inlineStr">
        <is>
          <t>Lara's daughter</t>
        </is>
      </c>
      <c r="H46" s="35" t="inlineStr"/>
    </row>
    <row r="47">
      <c r="A47" s="35" t="inlineStr">
        <is>
          <t>2026-01-06</t>
        </is>
      </c>
      <c r="B47" s="35" t="inlineStr">
        <is>
          <t>Goose Pen</t>
        </is>
      </c>
      <c r="C47" s="35" t="inlineStr">
        <is>
          <t>Ewe</t>
        </is>
      </c>
      <c r="D47" s="35" t="inlineStr">
        <is>
          <t>White (hair ewe)</t>
        </is>
      </c>
      <c r="E47" s="35" t="inlineStr"/>
      <c r="F47" s="35" t="inlineStr">
        <is>
          <t>E</t>
        </is>
      </c>
      <c r="G47" s="35" t="inlineStr">
        <is>
          <t>female hair sheep; no tag</t>
        </is>
      </c>
      <c r="H47" s="35" t="inlineStr">
        <is>
          <t>missing tag/ID</t>
        </is>
      </c>
    </row>
    <row r="48">
      <c r="A48" s="35" t="inlineStr">
        <is>
          <t>2026-01-06</t>
        </is>
      </c>
      <c r="B48" s="35" t="inlineStr">
        <is>
          <t>Tree Fort</t>
        </is>
      </c>
      <c r="C48" s="35" t="inlineStr">
        <is>
          <t>Ram</t>
        </is>
      </c>
      <c r="D48" s="35" t="inlineStr">
        <is>
          <t>Buck</t>
        </is>
      </c>
      <c r="E48" s="35" t="inlineStr">
        <is>
          <t>2433</t>
        </is>
      </c>
      <c r="F48" s="35" t="inlineStr">
        <is>
          <t>R</t>
        </is>
      </c>
      <c r="G48" s="35" t="inlineStr">
        <is>
          <t>tag 2433</t>
        </is>
      </c>
      <c r="H48" s="35" t="inlineStr"/>
    </row>
    <row r="49">
      <c r="A49" s="35" t="inlineStr">
        <is>
          <t>2026-01-06</t>
        </is>
      </c>
      <c r="B49" s="35" t="inlineStr">
        <is>
          <t>Tree Fort</t>
        </is>
      </c>
      <c r="C49" s="35" t="inlineStr">
        <is>
          <t>Ewe</t>
        </is>
      </c>
      <c r="D49" s="35" t="inlineStr">
        <is>
          <t>0035</t>
        </is>
      </c>
      <c r="E49" s="35" t="inlineStr">
        <is>
          <t>0035</t>
        </is>
      </c>
      <c r="F49" s="35" t="inlineStr">
        <is>
          <t>E</t>
        </is>
      </c>
      <c r="G49" s="35" t="inlineStr">
        <is>
          <t>white tag; hair sheep (one of Sirloin's)</t>
        </is>
      </c>
      <c r="H49" s="35" t="inlineStr"/>
    </row>
    <row r="50">
      <c r="A50" s="35" t="inlineStr">
        <is>
          <t>2026-01-06</t>
        </is>
      </c>
      <c r="B50" s="35" t="inlineStr">
        <is>
          <t>Tree Fort</t>
        </is>
      </c>
      <c r="C50" s="35" t="inlineStr">
        <is>
          <t>Ewe</t>
        </is>
      </c>
      <c r="D50" s="35" t="inlineStr">
        <is>
          <t>Charlie's ewe 3</t>
        </is>
      </c>
      <c r="E50" s="35" t="inlineStr"/>
      <c r="F50" s="35" t="inlineStr">
        <is>
          <t>E</t>
        </is>
      </c>
      <c r="G50" s="35" t="inlineStr">
        <is>
          <t>name-based ID needed</t>
        </is>
      </c>
      <c r="H50" s="35" t="inlineStr">
        <is>
          <t>missing tag/ID; assign house ID</t>
        </is>
      </c>
    </row>
    <row r="51">
      <c r="A51" s="35" t="inlineStr">
        <is>
          <t>2026-01-06</t>
        </is>
      </c>
      <c r="B51" s="35" t="inlineStr">
        <is>
          <t>Tree Fort</t>
        </is>
      </c>
      <c r="C51" s="35" t="inlineStr">
        <is>
          <t>Ewe lamb</t>
        </is>
      </c>
      <c r="D51" s="35" t="inlineStr">
        <is>
          <t>Ewe lamb (unidentified)</t>
        </is>
      </c>
      <c r="E51" s="35" t="inlineStr"/>
      <c r="F51" s="35" t="inlineStr">
        <is>
          <t>E</t>
        </is>
      </c>
      <c r="G51" s="35" t="inlineStr">
        <is>
          <t>no ID given</t>
        </is>
      </c>
      <c r="H51" s="35" t="inlineStr">
        <is>
          <t>missing tag/ID</t>
        </is>
      </c>
    </row>
    <row r="52">
      <c r="A52" s="35" t="inlineStr">
        <is>
          <t>2026-01-06</t>
        </is>
      </c>
      <c r="B52" s="35" t="inlineStr">
        <is>
          <t>Tree Fort</t>
        </is>
      </c>
      <c r="C52" s="35" t="inlineStr">
        <is>
          <t>Ewe</t>
        </is>
      </c>
      <c r="D52" s="35" t="inlineStr">
        <is>
          <t>35</t>
        </is>
      </c>
      <c r="E52" s="35" t="inlineStr">
        <is>
          <t>35</t>
        </is>
      </c>
      <c r="F52" s="35" t="inlineStr">
        <is>
          <t>E</t>
        </is>
      </c>
      <c r="G52" s="35" t="inlineStr">
        <is>
          <t>orange tag; hair/wool cross</t>
        </is>
      </c>
      <c r="H52" s="3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  <col width="20" customWidth="1" min="16" max="16"/>
    <col width="20" customWidth="1" min="17" max="17"/>
    <col width="18" customWidth="1" min="18" max="18"/>
    <col width="22" customWidth="1" min="19" max="19"/>
    <col width="40" customWidth="1" min="20" max="20"/>
  </cols>
  <sheetData>
    <row r="1" ht="22" customHeight="1">
      <c r="A1" s="4" t="inlineStr">
        <is>
          <t>AnimalID*</t>
        </is>
      </c>
      <c r="B1" s="4" t="inlineStr">
        <is>
          <t>Display Name</t>
        </is>
      </c>
      <c r="C1" s="4" t="inlineStr">
        <is>
          <t>Tag #</t>
        </is>
      </c>
      <c r="D1" s="4" t="inlineStr">
        <is>
          <t>Sex (E/R/W)</t>
        </is>
      </c>
      <c r="E1" s="4" t="inlineStr">
        <is>
          <t>DOB</t>
        </is>
      </c>
      <c r="F1" s="4" t="inlineStr">
        <is>
          <t>BirthYear</t>
        </is>
      </c>
      <c r="G1" s="4" t="inlineStr">
        <is>
          <t>AgeClass</t>
        </is>
      </c>
      <c r="H1" s="4" t="inlineStr">
        <is>
          <t>Pen/Group</t>
        </is>
      </c>
      <c r="I1" s="4" t="inlineStr">
        <is>
          <t>Status</t>
        </is>
      </c>
      <c r="J1" s="4" t="inlineStr">
        <is>
          <t>SireID</t>
        </is>
      </c>
      <c r="K1" s="4" t="inlineStr">
        <is>
          <t>DamID</t>
        </is>
      </c>
      <c r="L1" s="4" t="inlineStr">
        <is>
          <t>Received From</t>
        </is>
      </c>
      <c r="M1" s="4" t="inlineStr">
        <is>
          <t>Date Acquired</t>
        </is>
      </c>
      <c r="N1" s="4" t="inlineStr">
        <is>
          <t>Date Removed</t>
        </is>
      </c>
      <c r="O1" s="4" t="inlineStr">
        <is>
          <t>% Hair (calc)</t>
        </is>
      </c>
      <c r="P1" s="4" t="inlineStr">
        <is>
          <t>Expected wt (EWE, lb) (calc)</t>
        </is>
      </c>
      <c r="Q1" s="4" t="inlineStr">
        <is>
          <t>Expected wt (RAM, lb) (calc)</t>
        </is>
      </c>
      <c r="R1" s="4" t="inlineStr">
        <is>
          <t>Primary Breed (calc)</t>
        </is>
      </c>
      <c r="S1" s="4" t="inlineStr">
        <is>
          <t>Pedigree completeness (calc)</t>
        </is>
      </c>
      <c r="T1" s="4" t="inlineStr">
        <is>
          <t>Notes</t>
        </is>
      </c>
    </row>
    <row r="2">
      <c r="A2" s="5" t="inlineStr">
        <is>
          <t>TAG_00110</t>
        </is>
      </c>
      <c r="B2" s="5" t="inlineStr">
        <is>
          <t>00110</t>
        </is>
      </c>
      <c r="C2" s="5" t="inlineStr">
        <is>
          <t>00110</t>
        </is>
      </c>
      <c r="D2" s="5" t="inlineStr">
        <is>
          <t>R</t>
        </is>
      </c>
      <c r="E2" s="6" t="n"/>
      <c r="F2" s="7">
        <f>IF($E2="","",YEAR($E2))</f>
        <v/>
      </c>
      <c r="G2" s="5">
        <f>IF($E2="","",IF(('WEIGHTS_&amp;_RULES'!$B$3-$E2)&lt;365,"Lamb",IF(('WEIGHTS_&amp;_RULES'!$B$3-$E2)&lt;730,"Yearling","Adult")))</f>
        <v/>
      </c>
      <c r="H2" s="5" t="inlineStr">
        <is>
          <t>Pen 1</t>
        </is>
      </c>
      <c r="I2" s="5" t="inlineStr">
        <is>
          <t>Active</t>
        </is>
      </c>
      <c r="J2" s="5" t="inlineStr"/>
      <c r="K2" s="5" t="inlineStr"/>
      <c r="L2" s="5" t="inlineStr"/>
      <c r="M2" s="6" t="inlineStr"/>
      <c r="N2" s="6" t="inlineStr"/>
      <c r="O2" s="7">
        <f>IFERROR(VLOOKUP($A2,BREED_MIX!$A$2:$AB$61,2,FALSE),"")</f>
        <v/>
      </c>
      <c r="P2" s="27">
        <f>IFERROR(VLOOKUP($A2,BREED_MIX!$A$2:$AB$61,25,FALSE),"")</f>
        <v/>
      </c>
      <c r="Q2" s="27">
        <f>IFERROR(VLOOKUP($A2,BREED_MIX!$A$2:$AB$61,26,FALSE),"")</f>
        <v/>
      </c>
      <c r="R2" s="9">
        <f>IFERROR(VLOOKUP($A2,BREED_MIX!$A$2:$AB$61,27,FALSE),"")</f>
        <v/>
      </c>
      <c r="S2" s="7">
        <f>IF($A2="","",IF(AND($J2&lt;&gt;"",$K2&lt;&gt;""),2,IF(OR($J2&lt;&gt;"",$K2&lt;&gt;""),1,0)))</f>
        <v/>
      </c>
      <c r="T2" s="5" t="inlineStr">
        <is>
          <t>orange tag</t>
        </is>
      </c>
    </row>
    <row r="3">
      <c r="A3" s="5" t="inlineStr">
        <is>
          <t>P1_TWIN_RAM_BROWNWHITE</t>
        </is>
      </c>
      <c r="B3" s="5" t="inlineStr">
        <is>
          <t>Twin ram (brown &amp; white)</t>
        </is>
      </c>
      <c r="C3" s="5" t="inlineStr"/>
      <c r="D3" s="5" t="inlineStr">
        <is>
          <t>R</t>
        </is>
      </c>
      <c r="E3" s="6" t="n"/>
      <c r="F3" s="7">
        <f>IF($E3="","",YEAR($E3))</f>
        <v/>
      </c>
      <c r="G3" s="5">
        <f>IF($E3="","",IF(('WEIGHTS_&amp;_RULES'!$B$3-$E3)&lt;365,"Lamb",IF(('WEIGHTS_&amp;_RULES'!$B$3-$E3)&lt;730,"Yearling","Adult")))</f>
        <v/>
      </c>
      <c r="H3" s="5" t="inlineStr">
        <is>
          <t>Pen 1</t>
        </is>
      </c>
      <c r="I3" s="5" t="inlineStr">
        <is>
          <t>Active</t>
        </is>
      </c>
      <c r="J3" s="5" t="inlineStr"/>
      <c r="K3" s="5" t="inlineStr"/>
      <c r="L3" s="5" t="inlineStr"/>
      <c r="M3" s="6" t="inlineStr"/>
      <c r="N3" s="6" t="inlineStr"/>
      <c r="O3" s="7">
        <f>IFERROR(VLOOKUP($A3,BREED_MIX!$A$2:$AB$61,2,FALSE),"")</f>
        <v/>
      </c>
      <c r="P3" s="27">
        <f>IFERROR(VLOOKUP($A3,BREED_MIX!$A$2:$AB$61,25,FALSE),"")</f>
        <v/>
      </c>
      <c r="Q3" s="27">
        <f>IFERROR(VLOOKUP($A3,BREED_MIX!$A$2:$AB$61,26,FALSE),"")</f>
        <v/>
      </c>
      <c r="R3" s="9">
        <f>IFERROR(VLOOKUP($A3,BREED_MIX!$A$2:$AB$61,27,FALSE),"")</f>
        <v/>
      </c>
      <c r="S3" s="7">
        <f>IF($A3="","",IF(AND($J3&lt;&gt;"",$K3&lt;&gt;""),2,IF(OR($J3&lt;&gt;"",$K3&lt;&gt;""),1,0)))</f>
        <v/>
      </c>
      <c r="T3" s="5" t="inlineStr">
        <is>
          <t>no ID</t>
        </is>
      </c>
    </row>
    <row r="4">
      <c r="A4" s="5" t="inlineStr">
        <is>
          <t>P1_TWIN_RAM_BLACKWHITE</t>
        </is>
      </c>
      <c r="B4" s="5" t="inlineStr">
        <is>
          <t>Twin ram (black &amp; white)</t>
        </is>
      </c>
      <c r="C4" s="5" t="inlineStr"/>
      <c r="D4" s="5" t="inlineStr">
        <is>
          <t>R</t>
        </is>
      </c>
      <c r="E4" s="6" t="n"/>
      <c r="F4" s="7">
        <f>IF($E4="","",YEAR($E4))</f>
        <v/>
      </c>
      <c r="G4" s="5">
        <f>IF($E4="","",IF(('WEIGHTS_&amp;_RULES'!$B$3-$E4)&lt;365,"Lamb",IF(('WEIGHTS_&amp;_RULES'!$B$3-$E4)&lt;730,"Yearling","Adult")))</f>
        <v/>
      </c>
      <c r="H4" s="5" t="inlineStr">
        <is>
          <t>Pen 1</t>
        </is>
      </c>
      <c r="I4" s="5" t="inlineStr">
        <is>
          <t>Active</t>
        </is>
      </c>
      <c r="J4" s="5" t="inlineStr"/>
      <c r="K4" s="5" t="inlineStr"/>
      <c r="L4" s="5" t="inlineStr"/>
      <c r="M4" s="6" t="inlineStr"/>
      <c r="N4" s="6" t="inlineStr"/>
      <c r="O4" s="7">
        <f>IFERROR(VLOOKUP($A4,BREED_MIX!$A$2:$AB$61,2,FALSE),"")</f>
        <v/>
      </c>
      <c r="P4" s="27">
        <f>IFERROR(VLOOKUP($A4,BREED_MIX!$A$2:$AB$61,25,FALSE),"")</f>
        <v/>
      </c>
      <c r="Q4" s="27">
        <f>IFERROR(VLOOKUP($A4,BREED_MIX!$A$2:$AB$61,26,FALSE),"")</f>
        <v/>
      </c>
      <c r="R4" s="9">
        <f>IFERROR(VLOOKUP($A4,BREED_MIX!$A$2:$AB$61,27,FALSE),"")</f>
        <v/>
      </c>
      <c r="S4" s="7">
        <f>IF($A4="","",IF(AND($J4&lt;&gt;"",$K4&lt;&gt;""),2,IF(OR($J4&lt;&gt;"",$K4&lt;&gt;""),1,0)))</f>
        <v/>
      </c>
      <c r="T4" s="5" t="inlineStr">
        <is>
          <t>no ID</t>
        </is>
      </c>
    </row>
    <row r="5">
      <c r="A5" s="5" t="inlineStr">
        <is>
          <t>TAG_0003</t>
        </is>
      </c>
      <c r="B5" s="5" t="inlineStr">
        <is>
          <t>003</t>
        </is>
      </c>
      <c r="C5" s="5" t="inlineStr">
        <is>
          <t>003</t>
        </is>
      </c>
      <c r="D5" s="5" t="inlineStr">
        <is>
          <t>E</t>
        </is>
      </c>
      <c r="E5" s="6" t="n"/>
      <c r="F5" s="7">
        <f>IF($E5="","",YEAR($E5))</f>
        <v/>
      </c>
      <c r="G5" s="5">
        <f>IF($E5="","",IF(('WEIGHTS_&amp;_RULES'!$B$3-$E5)&lt;365,"Lamb",IF(('WEIGHTS_&amp;_RULES'!$B$3-$E5)&lt;730,"Yearling","Adult")))</f>
        <v/>
      </c>
      <c r="H5" s="5" t="inlineStr">
        <is>
          <t>Pen 1</t>
        </is>
      </c>
      <c r="I5" s="5" t="inlineStr">
        <is>
          <t>Active</t>
        </is>
      </c>
      <c r="J5" s="5" t="inlineStr"/>
      <c r="K5" s="5" t="inlineStr"/>
      <c r="L5" s="5" t="inlineStr"/>
      <c r="M5" s="6" t="inlineStr"/>
      <c r="N5" s="6" t="inlineStr"/>
      <c r="O5" s="7">
        <f>IFERROR(VLOOKUP($A5,BREED_MIX!$A$2:$AB$61,2,FALSE),"")</f>
        <v/>
      </c>
      <c r="P5" s="27">
        <f>IFERROR(VLOOKUP($A5,BREED_MIX!$A$2:$AB$61,25,FALSE),"")</f>
        <v/>
      </c>
      <c r="Q5" s="27">
        <f>IFERROR(VLOOKUP($A5,BREED_MIX!$A$2:$AB$61,26,FALSE),"")</f>
        <v/>
      </c>
      <c r="R5" s="9">
        <f>IFERROR(VLOOKUP($A5,BREED_MIX!$A$2:$AB$61,27,FALSE),"")</f>
        <v/>
      </c>
      <c r="S5" s="7">
        <f>IF($A5="","",IF(AND($J5&lt;&gt;"",$K5&lt;&gt;""),2,IF(OR($J5&lt;&gt;"",$K5&lt;&gt;""),1,0)))</f>
        <v/>
      </c>
      <c r="T5" s="5" t="inlineStr">
        <is>
          <t>hair</t>
        </is>
      </c>
    </row>
    <row r="6">
      <c r="A6" s="5" t="inlineStr">
        <is>
          <t>AZURE_0020</t>
        </is>
      </c>
      <c r="B6" s="5" t="inlineStr">
        <is>
          <t>Azure</t>
        </is>
      </c>
      <c r="C6" s="5" t="inlineStr">
        <is>
          <t>20</t>
        </is>
      </c>
      <c r="D6" s="5" t="inlineStr">
        <is>
          <t>E</t>
        </is>
      </c>
      <c r="E6" s="6" t="n"/>
      <c r="F6" s="7">
        <f>IF($E6="","",YEAR($E6))</f>
        <v/>
      </c>
      <c r="G6" s="5">
        <f>IF($E6="","",IF(('WEIGHTS_&amp;_RULES'!$B$3-$E6)&lt;365,"Lamb",IF(('WEIGHTS_&amp;_RULES'!$B$3-$E6)&lt;730,"Yearling","Adult")))</f>
        <v/>
      </c>
      <c r="H6" s="5" t="inlineStr">
        <is>
          <t>Pen 1</t>
        </is>
      </c>
      <c r="I6" s="5" t="inlineStr">
        <is>
          <t>Active</t>
        </is>
      </c>
      <c r="J6" s="5" t="inlineStr"/>
      <c r="K6" s="5" t="inlineStr"/>
      <c r="L6" s="5" t="inlineStr"/>
      <c r="M6" s="6" t="inlineStr"/>
      <c r="N6" s="6" t="inlineStr"/>
      <c r="O6" s="7">
        <f>IFERROR(VLOOKUP($A6,BREED_MIX!$A$2:$AB$61,2,FALSE),"")</f>
        <v/>
      </c>
      <c r="P6" s="27">
        <f>IFERROR(VLOOKUP($A6,BREED_MIX!$A$2:$AB$61,25,FALSE),"")</f>
        <v/>
      </c>
      <c r="Q6" s="27">
        <f>IFERROR(VLOOKUP($A6,BREED_MIX!$A$2:$AB$61,26,FALSE),"")</f>
        <v/>
      </c>
      <c r="R6" s="9">
        <f>IFERROR(VLOOKUP($A6,BREED_MIX!$A$2:$AB$61,27,FALSE),"")</f>
        <v/>
      </c>
      <c r="S6" s="7">
        <f>IF($A6="","",IF(AND($J6&lt;&gt;"",$K6&lt;&gt;""),2,IF(OR($J6&lt;&gt;"",$K6&lt;&gt;""),1,0)))</f>
        <v/>
      </c>
      <c r="T6" s="5" t="inlineStr">
        <is>
          <t>Azure (20)</t>
        </is>
      </c>
    </row>
    <row r="7">
      <c r="A7" s="5" t="inlineStr">
        <is>
          <t>TAG_0044</t>
        </is>
      </c>
      <c r="B7" s="5" t="inlineStr">
        <is>
          <t>0044</t>
        </is>
      </c>
      <c r="C7" s="5" t="inlineStr">
        <is>
          <t>0044</t>
        </is>
      </c>
      <c r="D7" s="5" t="inlineStr">
        <is>
          <t>E</t>
        </is>
      </c>
      <c r="E7" s="6" t="n"/>
      <c r="F7" s="7">
        <f>IF($E7="","",YEAR($E7))</f>
        <v/>
      </c>
      <c r="G7" s="5">
        <f>IF($E7="","",IF(('WEIGHTS_&amp;_RULES'!$B$3-$E7)&lt;365,"Lamb",IF(('WEIGHTS_&amp;_RULES'!$B$3-$E7)&lt;730,"Yearling","Adult")))</f>
        <v/>
      </c>
      <c r="H7" s="5" t="inlineStr">
        <is>
          <t>Pen 1</t>
        </is>
      </c>
      <c r="I7" s="5" t="inlineStr">
        <is>
          <t>Active</t>
        </is>
      </c>
      <c r="J7" s="5" t="inlineStr"/>
      <c r="K7" s="5" t="inlineStr"/>
      <c r="L7" s="5" t="inlineStr"/>
      <c r="M7" s="6" t="inlineStr"/>
      <c r="N7" s="6" t="inlineStr"/>
      <c r="O7" s="7">
        <f>IFERROR(VLOOKUP($A7,BREED_MIX!$A$2:$AB$61,2,FALSE),"")</f>
        <v/>
      </c>
      <c r="P7" s="27">
        <f>IFERROR(VLOOKUP($A7,BREED_MIX!$A$2:$AB$61,25,FALSE),"")</f>
        <v/>
      </c>
      <c r="Q7" s="27">
        <f>IFERROR(VLOOKUP($A7,BREED_MIX!$A$2:$AB$61,26,FALSE),"")</f>
        <v/>
      </c>
      <c r="R7" s="9">
        <f>IFERROR(VLOOKUP($A7,BREED_MIX!$A$2:$AB$61,27,FALSE),"")</f>
        <v/>
      </c>
      <c r="S7" s="7">
        <f>IF($A7="","",IF(AND($J7&lt;&gt;"",$K7&lt;&gt;""),2,IF(OR($J7&lt;&gt;"",$K7&lt;&gt;""),1,0)))</f>
        <v/>
      </c>
      <c r="T7" s="5" t="inlineStr">
        <is>
          <t>fluffy</t>
        </is>
      </c>
    </row>
    <row r="8">
      <c r="A8" s="5" t="inlineStr">
        <is>
          <t>CHARLIES_EWE_2</t>
        </is>
      </c>
      <c r="B8" s="5" t="inlineStr">
        <is>
          <t>Charlie's ewe 2</t>
        </is>
      </c>
      <c r="C8" s="5" t="inlineStr"/>
      <c r="D8" s="5" t="inlineStr">
        <is>
          <t>E</t>
        </is>
      </c>
      <c r="E8" s="6" t="n"/>
      <c r="F8" s="7">
        <f>IF($E8="","",YEAR($E8))</f>
        <v/>
      </c>
      <c r="G8" s="5">
        <f>IF($E8="","",IF(('WEIGHTS_&amp;_RULES'!$B$3-$E8)&lt;365,"Lamb",IF(('WEIGHTS_&amp;_RULES'!$B$3-$E8)&lt;730,"Yearling","Adult")))</f>
        <v/>
      </c>
      <c r="H8" s="5" t="inlineStr">
        <is>
          <t>Pen 1</t>
        </is>
      </c>
      <c r="I8" s="5" t="inlineStr">
        <is>
          <t>Active</t>
        </is>
      </c>
      <c r="J8" s="5" t="inlineStr"/>
      <c r="K8" s="5" t="inlineStr"/>
      <c r="L8" s="5" t="inlineStr"/>
      <c r="M8" s="6" t="inlineStr"/>
      <c r="N8" s="6" t="inlineStr"/>
      <c r="O8" s="7">
        <f>IFERROR(VLOOKUP($A8,BREED_MIX!$A$2:$AB$61,2,FALSE),"")</f>
        <v/>
      </c>
      <c r="P8" s="27">
        <f>IFERROR(VLOOKUP($A8,BREED_MIX!$A$2:$AB$61,25,FALSE),"")</f>
        <v/>
      </c>
      <c r="Q8" s="27">
        <f>IFERROR(VLOOKUP($A8,BREED_MIX!$A$2:$AB$61,26,FALSE),"")</f>
        <v/>
      </c>
      <c r="R8" s="9">
        <f>IFERROR(VLOOKUP($A8,BREED_MIX!$A$2:$AB$61,27,FALSE),"")</f>
        <v/>
      </c>
      <c r="S8" s="7">
        <f>IF($A8="","",IF(AND($J8&lt;&gt;"",$K8&lt;&gt;""),2,IF(OR($J8&lt;&gt;"",$K8&lt;&gt;""),1,0)))</f>
        <v/>
      </c>
      <c r="T8" s="5" t="inlineStr">
        <is>
          <t>no tag</t>
        </is>
      </c>
    </row>
    <row r="9">
      <c r="A9" s="5" t="inlineStr">
        <is>
          <t>P1_RAM_LAMB_BROWNWHITE_01</t>
        </is>
      </c>
      <c r="B9" s="5" t="inlineStr">
        <is>
          <t>Ram lamb (brown &amp; white)</t>
        </is>
      </c>
      <c r="C9" s="5" t="inlineStr"/>
      <c r="D9" s="5" t="inlineStr">
        <is>
          <t>R</t>
        </is>
      </c>
      <c r="E9" s="6" t="n"/>
      <c r="F9" s="7">
        <f>IF($E9="","",YEAR($E9))</f>
        <v/>
      </c>
      <c r="G9" s="5">
        <f>IF($E9="","",IF(('WEIGHTS_&amp;_RULES'!$B$3-$E9)&lt;365,"Lamb",IF(('WEIGHTS_&amp;_RULES'!$B$3-$E9)&lt;730,"Yearling","Adult")))</f>
        <v/>
      </c>
      <c r="H9" s="5" t="inlineStr">
        <is>
          <t>Pen 1</t>
        </is>
      </c>
      <c r="I9" s="5" t="inlineStr">
        <is>
          <t>Active</t>
        </is>
      </c>
      <c r="J9" s="5" t="inlineStr"/>
      <c r="K9" s="5" t="inlineStr"/>
      <c r="L9" s="5" t="inlineStr"/>
      <c r="M9" s="6" t="inlineStr"/>
      <c r="N9" s="6" t="inlineStr"/>
      <c r="O9" s="7">
        <f>IFERROR(VLOOKUP($A9,BREED_MIX!$A$2:$AB$61,2,FALSE),"")</f>
        <v/>
      </c>
      <c r="P9" s="27">
        <f>IFERROR(VLOOKUP($A9,BREED_MIX!$A$2:$AB$61,25,FALSE),"")</f>
        <v/>
      </c>
      <c r="Q9" s="27">
        <f>IFERROR(VLOOKUP($A9,BREED_MIX!$A$2:$AB$61,26,FALSE),"")</f>
        <v/>
      </c>
      <c r="R9" s="9">
        <f>IFERROR(VLOOKUP($A9,BREED_MIX!$A$2:$AB$61,27,FALSE),"")</f>
        <v/>
      </c>
      <c r="S9" s="7">
        <f>IF($A9="","",IF(AND($J9&lt;&gt;"",$K9&lt;&gt;""),2,IF(OR($J9&lt;&gt;"",$K9&lt;&gt;""),1,0)))</f>
        <v/>
      </c>
      <c r="T9" s="5" t="inlineStr">
        <is>
          <t>no ID</t>
        </is>
      </c>
    </row>
    <row r="10">
      <c r="A10" s="5" t="inlineStr">
        <is>
          <t>JERK_FACE</t>
        </is>
      </c>
      <c r="B10" s="5" t="inlineStr">
        <is>
          <t>Jerk Face</t>
        </is>
      </c>
      <c r="C10" s="5" t="inlineStr"/>
      <c r="D10" s="5" t="inlineStr">
        <is>
          <t>R</t>
        </is>
      </c>
      <c r="E10" s="6" t="n"/>
      <c r="F10" s="7">
        <f>IF($E10="","",YEAR($E10))</f>
        <v/>
      </c>
      <c r="G10" s="5">
        <f>IF($E10="","",IF(('WEIGHTS_&amp;_RULES'!$B$3-$E10)&lt;365,"Lamb",IF(('WEIGHTS_&amp;_RULES'!$B$3-$E10)&lt;730,"Yearling","Adult")))</f>
        <v/>
      </c>
      <c r="H10" s="5" t="inlineStr">
        <is>
          <t>Pen 2</t>
        </is>
      </c>
      <c r="I10" s="5" t="inlineStr">
        <is>
          <t>Active</t>
        </is>
      </c>
      <c r="J10" s="5" t="inlineStr"/>
      <c r="K10" s="5" t="inlineStr"/>
      <c r="L10" s="5" t="inlineStr"/>
      <c r="M10" s="6" t="inlineStr"/>
      <c r="N10" s="6" t="inlineStr"/>
      <c r="O10" s="7">
        <f>IFERROR(VLOOKUP($A10,BREED_MIX!$A$2:$AB$61,2,FALSE),"")</f>
        <v/>
      </c>
      <c r="P10" s="27">
        <f>IFERROR(VLOOKUP($A10,BREED_MIX!$A$2:$AB$61,25,FALSE),"")</f>
        <v/>
      </c>
      <c r="Q10" s="27">
        <f>IFERROR(VLOOKUP($A10,BREED_MIX!$A$2:$AB$61,26,FALSE),"")</f>
        <v/>
      </c>
      <c r="R10" s="9">
        <f>IFERROR(VLOOKUP($A10,BREED_MIX!$A$2:$AB$61,27,FALSE),"")</f>
        <v/>
      </c>
      <c r="S10" s="7">
        <f>IF($A10="","",IF(AND($J10&lt;&gt;"",$K10&lt;&gt;""),2,IF(OR($J10&lt;&gt;"",$K10&lt;&gt;""),1,0)))</f>
        <v/>
      </c>
      <c r="T10" s="5" t="inlineStr">
        <is>
          <t>no tag</t>
        </is>
      </c>
    </row>
    <row r="11">
      <c r="A11" s="5" t="inlineStr">
        <is>
          <t>TAG_0053</t>
        </is>
      </c>
      <c r="B11" s="5" t="inlineStr">
        <is>
          <t>0053</t>
        </is>
      </c>
      <c r="C11" s="5" t="inlineStr">
        <is>
          <t>0053</t>
        </is>
      </c>
      <c r="D11" s="5" t="inlineStr">
        <is>
          <t>E</t>
        </is>
      </c>
      <c r="E11" s="6" t="n"/>
      <c r="F11" s="7">
        <f>IF($E11="","",YEAR($E11))</f>
        <v/>
      </c>
      <c r="G11" s="5">
        <f>IF($E11="","",IF(('WEIGHTS_&amp;_RULES'!$B$3-$E11)&lt;365,"Lamb",IF(('WEIGHTS_&amp;_RULES'!$B$3-$E11)&lt;730,"Yearling","Adult")))</f>
        <v/>
      </c>
      <c r="H11" s="5" t="inlineStr">
        <is>
          <t>Pen 2</t>
        </is>
      </c>
      <c r="I11" s="5" t="inlineStr">
        <is>
          <t>Active</t>
        </is>
      </c>
      <c r="J11" s="5" t="inlineStr"/>
      <c r="K11" s="5" t="inlineStr"/>
      <c r="L11" s="5" t="inlineStr"/>
      <c r="M11" s="6" t="inlineStr"/>
      <c r="N11" s="6" t="inlineStr"/>
      <c r="O11" s="7">
        <f>IFERROR(VLOOKUP($A11,BREED_MIX!$A$2:$AB$61,2,FALSE),"")</f>
        <v/>
      </c>
      <c r="P11" s="27">
        <f>IFERROR(VLOOKUP($A11,BREED_MIX!$A$2:$AB$61,25,FALSE),"")</f>
        <v/>
      </c>
      <c r="Q11" s="27">
        <f>IFERROR(VLOOKUP($A11,BREED_MIX!$A$2:$AB$61,26,FALSE),"")</f>
        <v/>
      </c>
      <c r="R11" s="9">
        <f>IFERROR(VLOOKUP($A11,BREED_MIX!$A$2:$AB$61,27,FALSE),"")</f>
        <v/>
      </c>
      <c r="S11" s="7">
        <f>IF($A11="","",IF(AND($J11&lt;&gt;"",$K11&lt;&gt;""),2,IF(OR($J11&lt;&gt;"",$K11&lt;&gt;""),1,0)))</f>
        <v/>
      </c>
      <c r="T11" s="5" t="inlineStr">
        <is>
          <t>hair</t>
        </is>
      </c>
    </row>
    <row r="12">
      <c r="A12" s="5" t="inlineStr">
        <is>
          <t>TAG_0114</t>
        </is>
      </c>
      <c r="B12" s="5" t="inlineStr">
        <is>
          <t>114</t>
        </is>
      </c>
      <c r="C12" s="5" t="inlineStr">
        <is>
          <t>114</t>
        </is>
      </c>
      <c r="D12" s="5" t="inlineStr">
        <is>
          <t>E</t>
        </is>
      </c>
      <c r="E12" s="6" t="n"/>
      <c r="F12" s="7">
        <f>IF($E12="","",YEAR($E12))</f>
        <v/>
      </c>
      <c r="G12" s="5">
        <f>IF($E12="","",IF(('WEIGHTS_&amp;_RULES'!$B$3-$E12)&lt;365,"Lamb",IF(('WEIGHTS_&amp;_RULES'!$B$3-$E12)&lt;730,"Yearling","Adult")))</f>
        <v/>
      </c>
      <c r="H12" s="5" t="inlineStr">
        <is>
          <t>Pen 2</t>
        </is>
      </c>
      <c r="I12" s="5" t="inlineStr">
        <is>
          <t>Active</t>
        </is>
      </c>
      <c r="J12" s="5" t="inlineStr"/>
      <c r="K12" s="5" t="inlineStr"/>
      <c r="L12" s="5" t="inlineStr"/>
      <c r="M12" s="6" t="inlineStr"/>
      <c r="N12" s="6" t="inlineStr"/>
      <c r="O12" s="7">
        <f>IFERROR(VLOOKUP($A12,BREED_MIX!$A$2:$AB$61,2,FALSE),"")</f>
        <v/>
      </c>
      <c r="P12" s="27">
        <f>IFERROR(VLOOKUP($A12,BREED_MIX!$A$2:$AB$61,25,FALSE),"")</f>
        <v/>
      </c>
      <c r="Q12" s="27">
        <f>IFERROR(VLOOKUP($A12,BREED_MIX!$A$2:$AB$61,26,FALSE),"")</f>
        <v/>
      </c>
      <c r="R12" s="9">
        <f>IFERROR(VLOOKUP($A12,BREED_MIX!$A$2:$AB$61,27,FALSE),"")</f>
        <v/>
      </c>
      <c r="S12" s="7">
        <f>IF($A12="","",IF(AND($J12&lt;&gt;"",$K12&lt;&gt;""),2,IF(OR($J12&lt;&gt;"",$K12&lt;&gt;""),1,0)))</f>
        <v/>
      </c>
      <c r="T12" s="5" t="inlineStr">
        <is>
          <t>fawn; sister to 00110</t>
        </is>
      </c>
    </row>
    <row r="13">
      <c r="A13" s="5" t="inlineStr">
        <is>
          <t>MERRIE</t>
        </is>
      </c>
      <c r="B13" s="5" t="inlineStr">
        <is>
          <t>Merrie</t>
        </is>
      </c>
      <c r="C13" s="5" t="inlineStr">
        <is>
          <t>00016</t>
        </is>
      </c>
      <c r="D13" s="5" t="inlineStr">
        <is>
          <t>R</t>
        </is>
      </c>
      <c r="E13" s="6" t="n"/>
      <c r="F13" s="7">
        <f>IF($E13="","",YEAR($E13))</f>
        <v/>
      </c>
      <c r="G13" s="5">
        <f>IF($E13="","",IF(('WEIGHTS_&amp;_RULES'!$B$3-$E13)&lt;365,"Lamb",IF(('WEIGHTS_&amp;_RULES'!$B$3-$E13)&lt;730,"Yearling","Adult")))</f>
        <v/>
      </c>
      <c r="H13" s="5" t="inlineStr">
        <is>
          <t>Pen 3</t>
        </is>
      </c>
      <c r="I13" s="5" t="inlineStr">
        <is>
          <t>Active</t>
        </is>
      </c>
      <c r="J13" s="5" t="inlineStr">
        <is>
          <t>SMORE</t>
        </is>
      </c>
      <c r="K13" s="5" t="inlineStr">
        <is>
          <t>HALFTAIL</t>
        </is>
      </c>
      <c r="L13" s="5" t="inlineStr"/>
      <c r="M13" s="6" t="inlineStr"/>
      <c r="N13" s="6" t="inlineStr"/>
      <c r="O13" s="7">
        <f>IFERROR(VLOOKUP($A13,BREED_MIX!$A$2:$AB$61,2,FALSE),"")</f>
        <v/>
      </c>
      <c r="P13" s="27">
        <f>IFERROR(VLOOKUP($A13,BREED_MIX!$A$2:$AB$61,25,FALSE),"")</f>
        <v/>
      </c>
      <c r="Q13" s="27">
        <f>IFERROR(VLOOKUP($A13,BREED_MIX!$A$2:$AB$61,26,FALSE),"")</f>
        <v/>
      </c>
      <c r="R13" s="9">
        <f>IFERROR(VLOOKUP($A13,BREED_MIX!$A$2:$AB$61,27,FALSE),"")</f>
        <v/>
      </c>
      <c r="S13" s="7">
        <f>IF($A13="","",IF(AND($J13&lt;&gt;"",$K13&lt;&gt;""),2,IF(OR($J13&lt;&gt;"",$K13&lt;&gt;""),1,0)))</f>
        <v/>
      </c>
      <c r="T13" s="5" t="inlineStr"/>
    </row>
    <row r="14">
      <c r="A14" s="5" t="inlineStr">
        <is>
          <t>CHARLIE</t>
        </is>
      </c>
      <c r="B14" s="5" t="inlineStr">
        <is>
          <t>Charlie</t>
        </is>
      </c>
      <c r="C14" s="5" t="inlineStr"/>
      <c r="D14" s="5" t="inlineStr">
        <is>
          <t>R</t>
        </is>
      </c>
      <c r="E14" s="6" t="n"/>
      <c r="F14" s="7">
        <f>IF($E14="","",YEAR($E14))</f>
        <v/>
      </c>
      <c r="G14" s="5">
        <f>IF($E14="","",IF(('WEIGHTS_&amp;_RULES'!$B$3-$E14)&lt;365,"Lamb",IF(('WEIGHTS_&amp;_RULES'!$B$3-$E14)&lt;730,"Yearling","Adult")))</f>
        <v/>
      </c>
      <c r="H14" s="5" t="inlineStr">
        <is>
          <t>Pen 3</t>
        </is>
      </c>
      <c r="I14" s="5" t="inlineStr">
        <is>
          <t>Active</t>
        </is>
      </c>
      <c r="J14" s="5" t="inlineStr"/>
      <c r="K14" s="5" t="inlineStr"/>
      <c r="L14" s="5" t="inlineStr"/>
      <c r="M14" s="6" t="inlineStr"/>
      <c r="N14" s="6" t="inlineStr"/>
      <c r="O14" s="7">
        <f>IFERROR(VLOOKUP($A14,BREED_MIX!$A$2:$AB$61,2,FALSE),"")</f>
        <v/>
      </c>
      <c r="P14" s="27">
        <f>IFERROR(VLOOKUP($A14,BREED_MIX!$A$2:$AB$61,25,FALSE),"")</f>
        <v/>
      </c>
      <c r="Q14" s="27">
        <f>IFERROR(VLOOKUP($A14,BREED_MIX!$A$2:$AB$61,26,FALSE),"")</f>
        <v/>
      </c>
      <c r="R14" s="9">
        <f>IFERROR(VLOOKUP($A14,BREED_MIX!$A$2:$AB$61,27,FALSE),"")</f>
        <v/>
      </c>
      <c r="S14" s="7">
        <f>IF($A14="","",IF(AND($J14&lt;&gt;"",$K14&lt;&gt;""),2,IF(OR($J14&lt;&gt;"",$K14&lt;&gt;""),1,0)))</f>
        <v/>
      </c>
      <c r="T14" s="5" t="inlineStr">
        <is>
          <t>no tag</t>
        </is>
      </c>
    </row>
    <row r="15">
      <c r="A15" s="5" t="inlineStr">
        <is>
          <t>NORI_0029</t>
        </is>
      </c>
      <c r="B15" s="5" t="inlineStr">
        <is>
          <t>Nori</t>
        </is>
      </c>
      <c r="C15" s="5" t="inlineStr">
        <is>
          <t>0029</t>
        </is>
      </c>
      <c r="D15" s="5" t="inlineStr">
        <is>
          <t>E</t>
        </is>
      </c>
      <c r="E15" s="6" t="inlineStr">
        <is>
          <t>?</t>
        </is>
      </c>
      <c r="F15" s="7">
        <f>IF($E15="","",YEAR($E15))</f>
        <v/>
      </c>
      <c r="G15" s="5">
        <f>IF($E15="","",IF(('WEIGHTS_&amp;_RULES'!$B$3-$E15)&lt;365,"Lamb",IF(('WEIGHTS_&amp;_RULES'!$B$3-$E15)&lt;730,"Yearling","Adult")))</f>
        <v/>
      </c>
      <c r="H15" s="5" t="inlineStr">
        <is>
          <t>Pen 3</t>
        </is>
      </c>
      <c r="I15" s="5" t="inlineStr">
        <is>
          <t>Active</t>
        </is>
      </c>
      <c r="J15" s="5" t="inlineStr">
        <is>
          <t>100% ABB</t>
        </is>
      </c>
      <c r="K15" s="5" t="inlineStr">
        <is>
          <t>100% Wiltshire Horn</t>
        </is>
      </c>
      <c r="L15" s="5" t="inlineStr"/>
      <c r="M15" s="6" t="inlineStr"/>
      <c r="N15" s="6" t="inlineStr"/>
      <c r="O15" s="7">
        <f>IFERROR(VLOOKUP($A15,BREED_MIX!$A$2:$AB$61,2,FALSE),"")</f>
        <v/>
      </c>
      <c r="P15" s="27">
        <f>IFERROR(VLOOKUP($A15,BREED_MIX!$A$2:$AB$61,25,FALSE),"")</f>
        <v/>
      </c>
      <c r="Q15" s="27">
        <f>IFERROR(VLOOKUP($A15,BREED_MIX!$A$2:$AB$61,26,FALSE),"")</f>
        <v/>
      </c>
      <c r="R15" s="9">
        <f>IFERROR(VLOOKUP($A15,BREED_MIX!$A$2:$AB$61,27,FALSE),"")</f>
        <v/>
      </c>
      <c r="S15" s="7">
        <f>IF($A15="","",IF(AND($J15&lt;&gt;"",$K15&lt;&gt;""),2,IF(OR($J15&lt;&gt;"",$K15&lt;&gt;""),1,0)))</f>
        <v/>
      </c>
      <c r="T15" s="5" t="inlineStr">
        <is>
          <t>Nori (0029)</t>
        </is>
      </c>
    </row>
    <row r="16">
      <c r="A16" s="5" t="inlineStr">
        <is>
          <t>BROKEN_TAIL</t>
        </is>
      </c>
      <c r="B16" s="5" t="inlineStr">
        <is>
          <t>Broken Tail</t>
        </is>
      </c>
      <c r="C16" s="5" t="inlineStr"/>
      <c r="D16" s="5" t="inlineStr">
        <is>
          <t>E</t>
        </is>
      </c>
      <c r="E16" s="6" t="n"/>
      <c r="F16" s="7">
        <f>IF($E16="","",YEAR($E16))</f>
        <v/>
      </c>
      <c r="G16" s="5">
        <f>IF($E16="","",IF(('WEIGHTS_&amp;_RULES'!$B$3-$E16)&lt;365,"Lamb",IF(('WEIGHTS_&amp;_RULES'!$B$3-$E16)&lt;730,"Yearling","Adult")))</f>
        <v/>
      </c>
      <c r="H16" s="5" t="inlineStr">
        <is>
          <t>Pen 3</t>
        </is>
      </c>
      <c r="I16" s="5" t="inlineStr">
        <is>
          <t>Active</t>
        </is>
      </c>
      <c r="J16" s="5" t="inlineStr">
        <is>
          <t>SIRLOIN</t>
        </is>
      </c>
      <c r="K16" s="5" t="inlineStr">
        <is>
          <t>HALFTAIL</t>
        </is>
      </c>
      <c r="L16" s="5" t="inlineStr"/>
      <c r="M16" s="6" t="inlineStr"/>
      <c r="N16" s="6" t="inlineStr"/>
      <c r="O16" s="7">
        <f>IFERROR(VLOOKUP($A16,BREED_MIX!$A$2:$AB$61,2,FALSE),"")</f>
        <v/>
      </c>
      <c r="P16" s="27">
        <f>IFERROR(VLOOKUP($A16,BREED_MIX!$A$2:$AB$61,25,FALSE),"")</f>
        <v/>
      </c>
      <c r="Q16" s="27">
        <f>IFERROR(VLOOKUP($A16,BREED_MIX!$A$2:$AB$61,26,FALSE),"")</f>
        <v/>
      </c>
      <c r="R16" s="9">
        <f>IFERROR(VLOOKUP($A16,BREED_MIX!$A$2:$AB$61,27,FALSE),"")</f>
        <v/>
      </c>
      <c r="S16" s="7">
        <f>IF($A16="","",IF(AND($J16&lt;&gt;"",$K16&lt;&gt;""),2,IF(OR($J16&lt;&gt;"",$K16&lt;&gt;""),1,0)))</f>
        <v/>
      </c>
      <c r="T16" s="5" t="inlineStr">
        <is>
          <t>tag lost</t>
        </is>
      </c>
    </row>
    <row r="17">
      <c r="A17" s="5" t="inlineStr">
        <is>
          <t>BTXC_TWIN_EWE_1</t>
        </is>
      </c>
      <c r="B17" s="5" t="inlineStr">
        <is>
          <t>BT x Charlie twin ewe lamb #1</t>
        </is>
      </c>
      <c r="C17" s="5" t="inlineStr"/>
      <c r="D17" s="5" t="inlineStr">
        <is>
          <t>E</t>
        </is>
      </c>
      <c r="E17" s="6" t="n"/>
      <c r="F17" s="7">
        <f>IF($E17="","",YEAR($E17))</f>
        <v/>
      </c>
      <c r="G17" s="5">
        <f>IF($E17="","",IF(('WEIGHTS_&amp;_RULES'!$B$3-$E17)&lt;365,"Lamb",IF(('WEIGHTS_&amp;_RULES'!$B$3-$E17)&lt;730,"Yearling","Adult")))</f>
        <v/>
      </c>
      <c r="H17" s="5" t="inlineStr">
        <is>
          <t>Pen 3</t>
        </is>
      </c>
      <c r="I17" s="5" t="inlineStr">
        <is>
          <t>Inactive (not on 2026-01-06 living roster)</t>
        </is>
      </c>
      <c r="J17" s="5" t="inlineStr">
        <is>
          <t>CHARLIE</t>
        </is>
      </c>
      <c r="K17" s="5" t="inlineStr">
        <is>
          <t>BROKEN_TAIL</t>
        </is>
      </c>
      <c r="L17" s="5" t="inlineStr"/>
      <c r="M17" s="6" t="inlineStr"/>
      <c r="N17" s="6" t="inlineStr"/>
      <c r="O17" s="7">
        <f>IFERROR(VLOOKUP($A17,BREED_MIX!$A$2:$AB$61,2,FALSE),"")</f>
        <v/>
      </c>
      <c r="P17" s="27">
        <f>IFERROR(VLOOKUP($A17,BREED_MIX!$A$2:$AB$61,25,FALSE),"")</f>
        <v/>
      </c>
      <c r="Q17" s="27">
        <f>IFERROR(VLOOKUP($A17,BREED_MIX!$A$2:$AB$61,26,FALSE),"")</f>
        <v/>
      </c>
      <c r="R17" s="9">
        <f>IFERROR(VLOOKUP($A17,BREED_MIX!$A$2:$AB$61,27,FALSE),"")</f>
        <v/>
      </c>
      <c r="S17" s="7">
        <f>IF($A17="","",IF(AND($J17&lt;&gt;"",$K17&lt;&gt;""),2,IF(OR($J17&lt;&gt;"",$K17&lt;&gt;""),1,0)))</f>
        <v/>
      </c>
      <c r="T17" s="5" t="inlineStr">
        <is>
          <t>Broken Tail x Charlie; twin</t>
        </is>
      </c>
    </row>
    <row r="18">
      <c r="A18" s="5" t="inlineStr">
        <is>
          <t>BTXC_TWIN_EWE_2</t>
        </is>
      </c>
      <c r="B18" s="5" t="inlineStr">
        <is>
          <t>BT x Charlie twin ewe lamb #2</t>
        </is>
      </c>
      <c r="C18" s="5" t="inlineStr"/>
      <c r="D18" s="5" t="inlineStr">
        <is>
          <t>E</t>
        </is>
      </c>
      <c r="E18" s="6" t="n"/>
      <c r="F18" s="7">
        <f>IF($E18="","",YEAR($E18))</f>
        <v/>
      </c>
      <c r="G18" s="5">
        <f>IF($E18="","",IF(('WEIGHTS_&amp;_RULES'!$B$3-$E18)&lt;365,"Lamb",IF(('WEIGHTS_&amp;_RULES'!$B$3-$E18)&lt;730,"Yearling","Adult")))</f>
        <v/>
      </c>
      <c r="H18" s="5" t="inlineStr">
        <is>
          <t>Pen 3</t>
        </is>
      </c>
      <c r="I18" s="5" t="inlineStr">
        <is>
          <t>Inactive (not on 2026-01-06 living roster)</t>
        </is>
      </c>
      <c r="J18" s="5" t="inlineStr">
        <is>
          <t>CHARLIE</t>
        </is>
      </c>
      <c r="K18" s="5" t="inlineStr">
        <is>
          <t>BROKEN_TAIL</t>
        </is>
      </c>
      <c r="L18" s="5" t="inlineStr"/>
      <c r="M18" s="6" t="inlineStr"/>
      <c r="N18" s="6" t="inlineStr"/>
      <c r="O18" s="7">
        <f>IFERROR(VLOOKUP($A18,BREED_MIX!$A$2:$AB$61,2,FALSE),"")</f>
        <v/>
      </c>
      <c r="P18" s="27">
        <f>IFERROR(VLOOKUP($A18,BREED_MIX!$A$2:$AB$61,25,FALSE),"")</f>
        <v/>
      </c>
      <c r="Q18" s="27">
        <f>IFERROR(VLOOKUP($A18,BREED_MIX!$A$2:$AB$61,26,FALSE),"")</f>
        <v/>
      </c>
      <c r="R18" s="9">
        <f>IFERROR(VLOOKUP($A18,BREED_MIX!$A$2:$AB$61,27,FALSE),"")</f>
        <v/>
      </c>
      <c r="S18" s="7">
        <f>IF($A18="","",IF(AND($J18&lt;&gt;"",$K18&lt;&gt;""),2,IF(OR($J18&lt;&gt;"",$K18&lt;&gt;""),1,0)))</f>
        <v/>
      </c>
      <c r="T18" s="5" t="inlineStr">
        <is>
          <t>Broken Tail x Charlie; twin</t>
        </is>
      </c>
    </row>
    <row r="19">
      <c r="A19" s="5" t="inlineStr">
        <is>
          <t>CHARLIES_EWE_1</t>
        </is>
      </c>
      <c r="B19" s="5" t="inlineStr">
        <is>
          <t>Charlie's ewe</t>
        </is>
      </c>
      <c r="C19" s="5" t="inlineStr"/>
      <c r="D19" s="5" t="inlineStr">
        <is>
          <t>E</t>
        </is>
      </c>
      <c r="E19" s="6" t="n"/>
      <c r="F19" s="7">
        <f>IF($E19="","",YEAR($E19))</f>
        <v/>
      </c>
      <c r="G19" s="5">
        <f>IF($E19="","",IF(('WEIGHTS_&amp;_RULES'!$B$3-$E19)&lt;365,"Lamb",IF(('WEIGHTS_&amp;_RULES'!$B$3-$E19)&lt;730,"Yearling","Adult")))</f>
        <v/>
      </c>
      <c r="H19" s="5" t="inlineStr">
        <is>
          <t>Pen 3</t>
        </is>
      </c>
      <c r="I19" s="5" t="inlineStr">
        <is>
          <t>Active</t>
        </is>
      </c>
      <c r="J19" s="5" t="inlineStr"/>
      <c r="K19" s="5" t="inlineStr"/>
      <c r="L19" s="5" t="inlineStr"/>
      <c r="M19" s="6" t="inlineStr"/>
      <c r="N19" s="6" t="inlineStr"/>
      <c r="O19" s="7">
        <f>IFERROR(VLOOKUP($A19,BREED_MIX!$A$2:$AB$61,2,FALSE),"")</f>
        <v/>
      </c>
      <c r="P19" s="27">
        <f>IFERROR(VLOOKUP($A19,BREED_MIX!$A$2:$AB$61,25,FALSE),"")</f>
        <v/>
      </c>
      <c r="Q19" s="27">
        <f>IFERROR(VLOOKUP($A19,BREED_MIX!$A$2:$AB$61,26,FALSE),"")</f>
        <v/>
      </c>
      <c r="R19" s="9">
        <f>IFERROR(VLOOKUP($A19,BREED_MIX!$A$2:$AB$61,27,FALSE),"")</f>
        <v/>
      </c>
      <c r="S19" s="7">
        <f>IF($A19="","",IF(AND($J19&lt;&gt;"",$K19&lt;&gt;""),2,IF(OR($J19&lt;&gt;"",$K19&lt;&gt;""),1,0)))</f>
        <v/>
      </c>
      <c r="T19" s="5" t="inlineStr">
        <is>
          <t>no tag</t>
        </is>
      </c>
    </row>
    <row r="20">
      <c r="A20" s="5" t="inlineStr">
        <is>
          <t>P3_EWE_LAMB_01</t>
        </is>
      </c>
      <c r="B20" s="5" t="inlineStr">
        <is>
          <t>Ewe lamb (unknown)</t>
        </is>
      </c>
      <c r="C20" s="5" t="inlineStr"/>
      <c r="D20" s="5" t="inlineStr">
        <is>
          <t>E</t>
        </is>
      </c>
      <c r="E20" s="6" t="n"/>
      <c r="F20" s="7">
        <f>IF($E20="","",YEAR($E20))</f>
        <v/>
      </c>
      <c r="G20" s="5">
        <f>IF($E20="","",IF(('WEIGHTS_&amp;_RULES'!$B$3-$E20)&lt;365,"Lamb",IF(('WEIGHTS_&amp;_RULES'!$B$3-$E20)&lt;730,"Yearling","Adult")))</f>
        <v/>
      </c>
      <c r="H20" s="5" t="inlineStr">
        <is>
          <t>Pen 3</t>
        </is>
      </c>
      <c r="I20" s="5" t="inlineStr">
        <is>
          <t>Inactive (not on 2026-01-06 living roster)</t>
        </is>
      </c>
      <c r="J20" s="5" t="inlineStr"/>
      <c r="K20" s="5" t="inlineStr"/>
      <c r="L20" s="5" t="inlineStr"/>
      <c r="M20" s="6" t="inlineStr"/>
      <c r="N20" s="6" t="inlineStr"/>
      <c r="O20" s="7">
        <f>IFERROR(VLOOKUP($A20,BREED_MIX!$A$2:$AB$61,2,FALSE),"")</f>
        <v/>
      </c>
      <c r="P20" s="27">
        <f>IFERROR(VLOOKUP($A20,BREED_MIX!$A$2:$AB$61,25,FALSE),"")</f>
        <v/>
      </c>
      <c r="Q20" s="27">
        <f>IFERROR(VLOOKUP($A20,BREED_MIX!$A$2:$AB$61,26,FALSE),"")</f>
        <v/>
      </c>
      <c r="R20" s="9">
        <f>IFERROR(VLOOKUP($A20,BREED_MIX!$A$2:$AB$61,27,FALSE),"")</f>
        <v/>
      </c>
      <c r="S20" s="7">
        <f>IF($A20="","",IF(AND($J20&lt;&gt;"",$K20&lt;&gt;""),2,IF(OR($J20&lt;&gt;"",$K20&lt;&gt;""),1,0)))</f>
        <v/>
      </c>
      <c r="T20" s="5" t="inlineStr">
        <is>
          <t>no tag</t>
        </is>
      </c>
    </row>
    <row r="21">
      <c r="A21" s="5" t="inlineStr">
        <is>
          <t>TAG_0023</t>
        </is>
      </c>
      <c r="B21" s="5" t="inlineStr">
        <is>
          <t>0023</t>
        </is>
      </c>
      <c r="C21" s="5" t="inlineStr">
        <is>
          <t>0023</t>
        </is>
      </c>
      <c r="D21" s="5" t="inlineStr">
        <is>
          <t>E</t>
        </is>
      </c>
      <c r="E21" s="6" t="n"/>
      <c r="F21" s="7">
        <f>IF($E21="","",YEAR($E21))</f>
        <v/>
      </c>
      <c r="G21" s="5">
        <f>IF($E21="","",IF(('WEIGHTS_&amp;_RULES'!$B$3-$E21)&lt;365,"Lamb",IF(('WEIGHTS_&amp;_RULES'!$B$3-$E21)&lt;730,"Yearling","Adult")))</f>
        <v/>
      </c>
      <c r="H21" s="5" t="inlineStr">
        <is>
          <t>Pen 4</t>
        </is>
      </c>
      <c r="I21" s="5" t="inlineStr">
        <is>
          <t>Active</t>
        </is>
      </c>
      <c r="J21" s="5" t="inlineStr"/>
      <c r="K21" s="5" t="inlineStr"/>
      <c r="L21" s="5" t="inlineStr"/>
      <c r="M21" s="6" t="inlineStr"/>
      <c r="N21" s="6" t="inlineStr"/>
      <c r="O21" s="7">
        <f>IFERROR(VLOOKUP($A21,BREED_MIX!$A$2:$AB$61,2,FALSE),"")</f>
        <v/>
      </c>
      <c r="P21" s="27">
        <f>IFERROR(VLOOKUP($A21,BREED_MIX!$A$2:$AB$61,25,FALSE),"")</f>
        <v/>
      </c>
      <c r="Q21" s="27">
        <f>IFERROR(VLOOKUP($A21,BREED_MIX!$A$2:$AB$61,26,FALSE),"")</f>
        <v/>
      </c>
      <c r="R21" s="9">
        <f>IFERROR(VLOOKUP($A21,BREED_MIX!$A$2:$AB$61,27,FALSE),"")</f>
        <v/>
      </c>
      <c r="S21" s="7">
        <f>IF($A21="","",IF(AND($J21&lt;&gt;"",$K21&lt;&gt;""),2,IF(OR($J21&lt;&gt;"",$K21&lt;&gt;""),1,0)))</f>
        <v/>
      </c>
      <c r="T21" s="5" t="inlineStr"/>
    </row>
    <row r="22">
      <c r="A22" s="5" t="inlineStr">
        <is>
          <t>TAG_0011</t>
        </is>
      </c>
      <c r="B22" s="5" t="inlineStr">
        <is>
          <t>0011</t>
        </is>
      </c>
      <c r="C22" s="5" t="inlineStr">
        <is>
          <t>0011</t>
        </is>
      </c>
      <c r="D22" s="5" t="inlineStr">
        <is>
          <t>E</t>
        </is>
      </c>
      <c r="E22" s="6" t="n"/>
      <c r="F22" s="7">
        <f>IF($E22="","",YEAR($E22))</f>
        <v/>
      </c>
      <c r="G22" s="5">
        <f>IF($E22="","",IF(('WEIGHTS_&amp;_RULES'!$B$3-$E22)&lt;365,"Lamb",IF(('WEIGHTS_&amp;_RULES'!$B$3-$E22)&lt;730,"Yearling","Adult")))</f>
        <v/>
      </c>
      <c r="H22" s="5" t="inlineStr">
        <is>
          <t>Pen 4</t>
        </is>
      </c>
      <c r="I22" s="5" t="inlineStr">
        <is>
          <t>Active</t>
        </is>
      </c>
      <c r="J22" s="5" t="inlineStr"/>
      <c r="K22" s="5" t="inlineStr"/>
      <c r="L22" s="5" t="inlineStr"/>
      <c r="M22" s="6" t="inlineStr"/>
      <c r="N22" s="6" t="inlineStr"/>
      <c r="O22" s="7">
        <f>IFERROR(VLOOKUP($A22,BREED_MIX!$A$2:$AB$61,2,FALSE),"")</f>
        <v/>
      </c>
      <c r="P22" s="27">
        <f>IFERROR(VLOOKUP($A22,BREED_MIX!$A$2:$AB$61,25,FALSE),"")</f>
        <v/>
      </c>
      <c r="Q22" s="27">
        <f>IFERROR(VLOOKUP($A22,BREED_MIX!$A$2:$AB$61,26,FALSE),"")</f>
        <v/>
      </c>
      <c r="R22" s="9">
        <f>IFERROR(VLOOKUP($A22,BREED_MIX!$A$2:$AB$61,27,FALSE),"")</f>
        <v/>
      </c>
      <c r="S22" s="7">
        <f>IF($A22="","",IF(AND($J22&lt;&gt;"",$K22&lt;&gt;""),2,IF(OR($J22&lt;&gt;"",$K22&lt;&gt;""),1,0)))</f>
        <v/>
      </c>
      <c r="T22" s="5" t="inlineStr">
        <is>
          <t>wooly</t>
        </is>
      </c>
    </row>
    <row r="23">
      <c r="A23" s="5" t="inlineStr">
        <is>
          <t>GIGI</t>
        </is>
      </c>
      <c r="B23" s="5" t="inlineStr">
        <is>
          <t>Gigi</t>
        </is>
      </c>
      <c r="C23" s="5" t="inlineStr"/>
      <c r="D23" s="5" t="inlineStr">
        <is>
          <t>E</t>
        </is>
      </c>
      <c r="E23" s="6" t="n"/>
      <c r="F23" s="7">
        <f>IF($E23="","",YEAR($E23))</f>
        <v/>
      </c>
      <c r="G23" s="5">
        <f>IF($E23="","",IF(('WEIGHTS_&amp;_RULES'!$B$3-$E23)&lt;365,"Lamb",IF(('WEIGHTS_&amp;_RULES'!$B$3-$E23)&lt;730,"Yearling","Adult")))</f>
        <v/>
      </c>
      <c r="H23" s="5" t="inlineStr">
        <is>
          <t>Pen 4</t>
        </is>
      </c>
      <c r="I23" s="5" t="inlineStr">
        <is>
          <t>Active</t>
        </is>
      </c>
      <c r="J23" s="5" t="inlineStr"/>
      <c r="K23" s="5" t="inlineStr"/>
      <c r="L23" s="5" t="inlineStr"/>
      <c r="M23" s="6" t="inlineStr"/>
      <c r="N23" s="6" t="inlineStr"/>
      <c r="O23" s="7">
        <f>IFERROR(VLOOKUP($A23,BREED_MIX!$A$2:$AB$61,2,FALSE),"")</f>
        <v/>
      </c>
      <c r="P23" s="27">
        <f>IFERROR(VLOOKUP($A23,BREED_MIX!$A$2:$AB$61,25,FALSE),"")</f>
        <v/>
      </c>
      <c r="Q23" s="27">
        <f>IFERROR(VLOOKUP($A23,BREED_MIX!$A$2:$AB$61,26,FALSE),"")</f>
        <v/>
      </c>
      <c r="R23" s="9">
        <f>IFERROR(VLOOKUP($A23,BREED_MIX!$A$2:$AB$61,27,FALSE),"")</f>
        <v/>
      </c>
      <c r="S23" s="7">
        <f>IF($A23="","",IF(AND($J23&lt;&gt;"",$K23&lt;&gt;""),2,IF(OR($J23&lt;&gt;"",$K23&lt;&gt;""),1,0)))</f>
        <v/>
      </c>
      <c r="T23" s="5" t="inlineStr">
        <is>
          <t>no tag</t>
        </is>
      </c>
    </row>
    <row r="24">
      <c r="A24" s="5" t="inlineStr">
        <is>
          <t>FMS_DAUGHTER</t>
        </is>
      </c>
      <c r="B24" s="5" t="inlineStr">
        <is>
          <t>Fms daughter</t>
        </is>
      </c>
      <c r="C24" s="5" t="inlineStr"/>
      <c r="D24" s="5" t="inlineStr">
        <is>
          <t>E</t>
        </is>
      </c>
      <c r="E24" s="6" t="n"/>
      <c r="F24" s="7">
        <f>IF($E24="","",YEAR($E24))</f>
        <v/>
      </c>
      <c r="G24" s="5">
        <f>IF($E24="","",IF(('WEIGHTS_&amp;_RULES'!$B$3-$E24)&lt;365,"Lamb",IF(('WEIGHTS_&amp;_RULES'!$B$3-$E24)&lt;730,"Yearling","Adult")))</f>
        <v/>
      </c>
      <c r="H24" s="5" t="inlineStr">
        <is>
          <t>Pen 4</t>
        </is>
      </c>
      <c r="I24" s="5" t="inlineStr">
        <is>
          <t>Active</t>
        </is>
      </c>
      <c r="J24" s="5" t="inlineStr"/>
      <c r="K24" s="5" t="inlineStr"/>
      <c r="L24" s="5" t="inlineStr"/>
      <c r="M24" s="6" t="inlineStr"/>
      <c r="N24" s="6" t="inlineStr"/>
      <c r="O24" s="7">
        <f>IFERROR(VLOOKUP($A24,BREED_MIX!$A$2:$AB$61,2,FALSE),"")</f>
        <v/>
      </c>
      <c r="P24" s="27">
        <f>IFERROR(VLOOKUP($A24,BREED_MIX!$A$2:$AB$61,25,FALSE),"")</f>
        <v/>
      </c>
      <c r="Q24" s="27">
        <f>IFERROR(VLOOKUP($A24,BREED_MIX!$A$2:$AB$61,26,FALSE),"")</f>
        <v/>
      </c>
      <c r="R24" s="9">
        <f>IFERROR(VLOOKUP($A24,BREED_MIX!$A$2:$AB$61,27,FALSE),"")</f>
        <v/>
      </c>
      <c r="S24" s="7">
        <f>IF($A24="","",IF(AND($J24&lt;&gt;"",$K24&lt;&gt;""),2,IF(OR($J24&lt;&gt;"",$K24&lt;&gt;""),1,0)))</f>
        <v/>
      </c>
      <c r="T24" s="5" t="inlineStr">
        <is>
          <t>lost tag</t>
        </is>
      </c>
    </row>
    <row r="25">
      <c r="A25" s="5" t="inlineStr">
        <is>
          <t>SERENDIPITY</t>
        </is>
      </c>
      <c r="B25" s="5" t="inlineStr">
        <is>
          <t>Serendipity</t>
        </is>
      </c>
      <c r="C25" s="5" t="inlineStr">
        <is>
          <t>30</t>
        </is>
      </c>
      <c r="D25" s="5" t="inlineStr">
        <is>
          <t>E</t>
        </is>
      </c>
      <c r="E25" s="6" t="inlineStr">
        <is>
          <t>3-25-22</t>
        </is>
      </c>
      <c r="F25" s="7">
        <f>IF($E25="","",YEAR($E25))</f>
        <v/>
      </c>
      <c r="G25" s="5">
        <f>IF($E25="","",IF(('WEIGHTS_&amp;_RULES'!$B$3-$E25)&lt;365,"Lamb",IF(('WEIGHTS_&amp;_RULES'!$B$3-$E25)&lt;730,"Yearling","Adult")))</f>
        <v/>
      </c>
      <c r="H25" s="5" t="inlineStr">
        <is>
          <t>Pen 4</t>
        </is>
      </c>
      <c r="I25" s="5" t="inlineStr">
        <is>
          <t>Active</t>
        </is>
      </c>
      <c r="J25" s="5" t="inlineStr">
        <is>
          <t>Sirloin</t>
        </is>
      </c>
      <c r="K25" s="5" t="inlineStr">
        <is>
          <t>SHAGGY</t>
        </is>
      </c>
      <c r="L25" s="5" t="inlineStr"/>
      <c r="M25" s="6" t="inlineStr"/>
      <c r="N25" s="6" t="inlineStr"/>
      <c r="O25" s="7">
        <f>IFERROR(VLOOKUP($A25,BREED_MIX!$A$2:$AB$61,2,FALSE),"")</f>
        <v/>
      </c>
      <c r="P25" s="27">
        <f>IFERROR(VLOOKUP($A25,BREED_MIX!$A$2:$AB$61,25,FALSE),"")</f>
        <v/>
      </c>
      <c r="Q25" s="27">
        <f>IFERROR(VLOOKUP($A25,BREED_MIX!$A$2:$AB$61,26,FALSE),"")</f>
        <v/>
      </c>
      <c r="R25" s="9">
        <f>IFERROR(VLOOKUP($A25,BREED_MIX!$A$2:$AB$61,27,FALSE),"")</f>
        <v/>
      </c>
      <c r="S25" s="7">
        <f>IF($A25="","",IF(AND($J25&lt;&gt;"",$K25&lt;&gt;""),2,IF(OR($J25&lt;&gt;"",$K25&lt;&gt;""),1,0)))</f>
        <v/>
      </c>
      <c r="T25" s="5" t="inlineStr">
        <is>
          <t>no tag</t>
        </is>
      </c>
    </row>
    <row r="26">
      <c r="A26" s="5" t="inlineStr">
        <is>
          <t>P4_RAM_LAMB_WHITE_01</t>
        </is>
      </c>
      <c r="B26" s="5" t="inlineStr">
        <is>
          <t>Ram lamb (white)</t>
        </is>
      </c>
      <c r="C26" s="5" t="inlineStr"/>
      <c r="D26" s="5" t="inlineStr">
        <is>
          <t>R</t>
        </is>
      </c>
      <c r="E26" s="6" t="n"/>
      <c r="F26" s="7">
        <f>IF($E26="","",YEAR($E26))</f>
        <v/>
      </c>
      <c r="G26" s="5">
        <f>IF($E26="","",IF(('WEIGHTS_&amp;_RULES'!$B$3-$E26)&lt;365,"Lamb",IF(('WEIGHTS_&amp;_RULES'!$B$3-$E26)&lt;730,"Yearling","Adult")))</f>
        <v/>
      </c>
      <c r="H26" s="5" t="inlineStr">
        <is>
          <t>Pen 4</t>
        </is>
      </c>
      <c r="I26" s="5" t="inlineStr">
        <is>
          <t>Active</t>
        </is>
      </c>
      <c r="J26" s="5" t="inlineStr"/>
      <c r="K26" s="5" t="inlineStr"/>
      <c r="L26" s="5" t="inlineStr"/>
      <c r="M26" s="6" t="inlineStr"/>
      <c r="N26" s="6" t="inlineStr"/>
      <c r="O26" s="7">
        <f>IFERROR(VLOOKUP($A26,BREED_MIX!$A$2:$AB$61,2,FALSE),"")</f>
        <v/>
      </c>
      <c r="P26" s="27">
        <f>IFERROR(VLOOKUP($A26,BREED_MIX!$A$2:$AB$61,25,FALSE),"")</f>
        <v/>
      </c>
      <c r="Q26" s="27">
        <f>IFERROR(VLOOKUP($A26,BREED_MIX!$A$2:$AB$61,26,FALSE),"")</f>
        <v/>
      </c>
      <c r="R26" s="9">
        <f>IFERROR(VLOOKUP($A26,BREED_MIX!$A$2:$AB$61,27,FALSE),"")</f>
        <v/>
      </c>
      <c r="S26" s="7">
        <f>IF($A26="","",IF(AND($J26&lt;&gt;"",$K26&lt;&gt;""),2,IF(OR($J26&lt;&gt;"",$K26&lt;&gt;""),1,0)))</f>
        <v/>
      </c>
      <c r="T26" s="5" t="inlineStr">
        <is>
          <t>no ID</t>
        </is>
      </c>
    </row>
    <row r="27">
      <c r="A27" s="5" t="inlineStr">
        <is>
          <t>P4_EWE_LAMB_BLACK_01</t>
        </is>
      </c>
      <c r="B27" s="5" t="inlineStr">
        <is>
          <t>Ewe lamb (black)</t>
        </is>
      </c>
      <c r="C27" s="5" t="inlineStr"/>
      <c r="D27" s="5" t="inlineStr">
        <is>
          <t>E</t>
        </is>
      </c>
      <c r="E27" s="6" t="n"/>
      <c r="F27" s="7">
        <f>IF($E27="","",YEAR($E27))</f>
        <v/>
      </c>
      <c r="G27" s="5">
        <f>IF($E27="","",IF(('WEIGHTS_&amp;_RULES'!$B$3-$E27)&lt;365,"Lamb",IF(('WEIGHTS_&amp;_RULES'!$B$3-$E27)&lt;730,"Yearling","Adult")))</f>
        <v/>
      </c>
      <c r="H27" s="5" t="inlineStr">
        <is>
          <t>Pen 4</t>
        </is>
      </c>
      <c r="I27" s="5" t="inlineStr">
        <is>
          <t>Active</t>
        </is>
      </c>
      <c r="J27" s="5" t="inlineStr"/>
      <c r="K27" s="5" t="inlineStr"/>
      <c r="L27" s="5" t="inlineStr"/>
      <c r="M27" s="6" t="inlineStr"/>
      <c r="N27" s="6" t="inlineStr"/>
      <c r="O27" s="7">
        <f>IFERROR(VLOOKUP($A27,BREED_MIX!$A$2:$AB$61,2,FALSE),"")</f>
        <v/>
      </c>
      <c r="P27" s="27">
        <f>IFERROR(VLOOKUP($A27,BREED_MIX!$A$2:$AB$61,25,FALSE),"")</f>
        <v/>
      </c>
      <c r="Q27" s="27">
        <f>IFERROR(VLOOKUP($A27,BREED_MIX!$A$2:$AB$61,26,FALSE),"")</f>
        <v/>
      </c>
      <c r="R27" s="9">
        <f>IFERROR(VLOOKUP($A27,BREED_MIX!$A$2:$AB$61,27,FALSE),"")</f>
        <v/>
      </c>
      <c r="S27" s="7">
        <f>IF($A27="","",IF(AND($J27&lt;&gt;"",$K27&lt;&gt;""),2,IF(OR($J27&lt;&gt;"",$K27&lt;&gt;""),1,0)))</f>
        <v/>
      </c>
      <c r="T27" s="5" t="inlineStr">
        <is>
          <t>no ID</t>
        </is>
      </c>
    </row>
    <row r="28">
      <c r="A28" s="5" t="inlineStr">
        <is>
          <t>TAG_0051</t>
        </is>
      </c>
      <c r="B28" s="5" t="inlineStr">
        <is>
          <t>0051</t>
        </is>
      </c>
      <c r="C28" s="5" t="inlineStr">
        <is>
          <t>0051</t>
        </is>
      </c>
      <c r="D28" s="5" t="inlineStr">
        <is>
          <t>E</t>
        </is>
      </c>
      <c r="E28" s="6" t="n"/>
      <c r="F28" s="7">
        <f>IF($E28="","",YEAR($E28))</f>
        <v/>
      </c>
      <c r="G28" s="5">
        <f>IF($E28="","",IF(('WEIGHTS_&amp;_RULES'!$B$3-$E28)&lt;365,"Lamb",IF(('WEIGHTS_&amp;_RULES'!$B$3-$E28)&lt;730,"Yearling","Adult")))</f>
        <v/>
      </c>
      <c r="H28" s="5" t="inlineStr">
        <is>
          <t>Pen 4</t>
        </is>
      </c>
      <c r="I28" s="5" t="inlineStr">
        <is>
          <t>Active</t>
        </is>
      </c>
      <c r="J28" s="5" t="inlineStr"/>
      <c r="K28" s="5" t="inlineStr"/>
      <c r="L28" s="5" t="inlineStr"/>
      <c r="M28" s="6" t="inlineStr"/>
      <c r="N28" s="6" t="inlineStr"/>
      <c r="O28" s="7">
        <f>IFERROR(VLOOKUP($A28,BREED_MIX!$A$2:$AB$61,2,FALSE),"")</f>
        <v/>
      </c>
      <c r="P28" s="27">
        <f>IFERROR(VLOOKUP($A28,BREED_MIX!$A$2:$AB$61,25,FALSE),"")</f>
        <v/>
      </c>
      <c r="Q28" s="27">
        <f>IFERROR(VLOOKUP($A28,BREED_MIX!$A$2:$AB$61,26,FALSE),"")</f>
        <v/>
      </c>
      <c r="R28" s="9">
        <f>IFERROR(VLOOKUP($A28,BREED_MIX!$A$2:$AB$61,27,FALSE),"")</f>
        <v/>
      </c>
      <c r="S28" s="7">
        <f>IF($A28="","",IF(AND($J28&lt;&gt;"",$K28&lt;&gt;""),2,IF(OR($J28&lt;&gt;"",$K28&lt;&gt;""),1,0)))</f>
        <v/>
      </c>
      <c r="T28" s="5" t="inlineStr"/>
    </row>
    <row r="29">
      <c r="A29" s="5" t="inlineStr">
        <is>
          <t>TAG_0113</t>
        </is>
      </c>
      <c r="B29" s="5" t="inlineStr">
        <is>
          <t>113</t>
        </is>
      </c>
      <c r="C29" s="5" t="inlineStr">
        <is>
          <t>113</t>
        </is>
      </c>
      <c r="D29" s="5" t="inlineStr">
        <is>
          <t>R</t>
        </is>
      </c>
      <c r="E29" s="6" t="n"/>
      <c r="F29" s="7">
        <f>IF($E29="","",YEAR($E29))</f>
        <v/>
      </c>
      <c r="G29" s="5">
        <f>IF($E29="","",IF(('WEIGHTS_&amp;_RULES'!$B$3-$E29)&lt;365,"Lamb",IF(('WEIGHTS_&amp;_RULES'!$B$3-$E29)&lt;730,"Yearling","Adult")))</f>
        <v/>
      </c>
      <c r="H29" s="5" t="inlineStr">
        <is>
          <t>Pen 5</t>
        </is>
      </c>
      <c r="I29" s="5" t="inlineStr">
        <is>
          <t>Active</t>
        </is>
      </c>
      <c r="J29" s="5" t="inlineStr"/>
      <c r="K29" s="5" t="inlineStr"/>
      <c r="L29" s="5" t="inlineStr"/>
      <c r="M29" s="6" t="inlineStr"/>
      <c r="N29" s="6" t="inlineStr"/>
      <c r="O29" s="7">
        <f>IFERROR(VLOOKUP($A29,BREED_MIX!$A$2:$AB$61,2,FALSE),"")</f>
        <v/>
      </c>
      <c r="P29" s="27">
        <f>IFERROR(VLOOKUP($A29,BREED_MIX!$A$2:$AB$61,25,FALSE),"")</f>
        <v/>
      </c>
      <c r="Q29" s="27">
        <f>IFERROR(VLOOKUP($A29,BREED_MIX!$A$2:$AB$61,26,FALSE),"")</f>
        <v/>
      </c>
      <c r="R29" s="9">
        <f>IFERROR(VLOOKUP($A29,BREED_MIX!$A$2:$AB$61,27,FALSE),"")</f>
        <v/>
      </c>
      <c r="S29" s="7">
        <f>IF($A29="","",IF(AND($J29&lt;&gt;"",$K29&lt;&gt;""),2,IF(OR($J29&lt;&gt;"",$K29&lt;&gt;""),1,0)))</f>
        <v/>
      </c>
      <c r="T29" s="5" t="inlineStr"/>
    </row>
    <row r="30">
      <c r="A30" s="5" t="inlineStr">
        <is>
          <t>TAG_0002</t>
        </is>
      </c>
      <c r="B30" s="5" t="inlineStr">
        <is>
          <t>02</t>
        </is>
      </c>
      <c r="C30" s="5" t="inlineStr">
        <is>
          <t>02</t>
        </is>
      </c>
      <c r="D30" s="5" t="inlineStr">
        <is>
          <t>E</t>
        </is>
      </c>
      <c r="E30" s="6" t="n"/>
      <c r="F30" s="7">
        <f>IF($E30="","",YEAR($E30))</f>
        <v/>
      </c>
      <c r="G30" s="5">
        <f>IF($E30="","",IF(('WEIGHTS_&amp;_RULES'!$B$3-$E30)&lt;365,"Lamb",IF(('WEIGHTS_&amp;_RULES'!$B$3-$E30)&lt;730,"Yearling","Adult")))</f>
        <v/>
      </c>
      <c r="H30" s="5" t="inlineStr">
        <is>
          <t>Pen 5</t>
        </is>
      </c>
      <c r="I30" s="5" t="inlineStr">
        <is>
          <t>Active</t>
        </is>
      </c>
      <c r="J30" s="5" t="inlineStr"/>
      <c r="K30" s="5" t="inlineStr"/>
      <c r="L30" s="5" t="inlineStr"/>
      <c r="M30" s="6" t="inlineStr"/>
      <c r="N30" s="6" t="inlineStr"/>
      <c r="O30" s="7">
        <f>IFERROR(VLOOKUP($A30,BREED_MIX!$A$2:$AB$61,2,FALSE),"")</f>
        <v/>
      </c>
      <c r="P30" s="27">
        <f>IFERROR(VLOOKUP($A30,BREED_MIX!$A$2:$AB$61,25,FALSE),"")</f>
        <v/>
      </c>
      <c r="Q30" s="27">
        <f>IFERROR(VLOOKUP($A30,BREED_MIX!$A$2:$AB$61,26,FALSE),"")</f>
        <v/>
      </c>
      <c r="R30" s="9">
        <f>IFERROR(VLOOKUP($A30,BREED_MIX!$A$2:$AB$61,27,FALSE),"")</f>
        <v/>
      </c>
      <c r="S30" s="7">
        <f>IF($A30="","",IF(AND($J30&lt;&gt;"",$K30&lt;&gt;""),2,IF(OR($J30&lt;&gt;"",$K30&lt;&gt;""),1,0)))</f>
        <v/>
      </c>
      <c r="T30" s="5" t="inlineStr"/>
    </row>
    <row r="31">
      <c r="A31" s="5" t="inlineStr">
        <is>
          <t>TAG_0031</t>
        </is>
      </c>
      <c r="B31" s="5" t="inlineStr">
        <is>
          <t>31</t>
        </is>
      </c>
      <c r="C31" s="5" t="inlineStr">
        <is>
          <t>31</t>
        </is>
      </c>
      <c r="D31" s="5" t="inlineStr">
        <is>
          <t>E</t>
        </is>
      </c>
      <c r="E31" s="6" t="n"/>
      <c r="F31" s="7">
        <f>IF($E31="","",YEAR($E31))</f>
        <v/>
      </c>
      <c r="G31" s="5">
        <f>IF($E31="","",IF(('WEIGHTS_&amp;_RULES'!$B$3-$E31)&lt;365,"Lamb",IF(('WEIGHTS_&amp;_RULES'!$B$3-$E31)&lt;730,"Yearling","Adult")))</f>
        <v/>
      </c>
      <c r="H31" s="5" t="inlineStr">
        <is>
          <t>Pen 5</t>
        </is>
      </c>
      <c r="I31" s="5" t="inlineStr">
        <is>
          <t>Active</t>
        </is>
      </c>
      <c r="J31" s="5" t="inlineStr"/>
      <c r="K31" s="5" t="inlineStr"/>
      <c r="L31" s="5" t="inlineStr"/>
      <c r="M31" s="6" t="inlineStr"/>
      <c r="N31" s="6" t="inlineStr"/>
      <c r="O31" s="7">
        <f>IFERROR(VLOOKUP($A31,BREED_MIX!$A$2:$AB$61,2,FALSE),"")</f>
        <v/>
      </c>
      <c r="P31" s="27">
        <f>IFERROR(VLOOKUP($A31,BREED_MIX!$A$2:$AB$61,25,FALSE),"")</f>
        <v/>
      </c>
      <c r="Q31" s="27">
        <f>IFERROR(VLOOKUP($A31,BREED_MIX!$A$2:$AB$61,26,FALSE),"")</f>
        <v/>
      </c>
      <c r="R31" s="9">
        <f>IFERROR(VLOOKUP($A31,BREED_MIX!$A$2:$AB$61,27,FALSE),"")</f>
        <v/>
      </c>
      <c r="S31" s="7">
        <f>IF($A31="","",IF(AND($J31&lt;&gt;"",$K31&lt;&gt;""),2,IF(OR($J31&lt;&gt;"",$K31&lt;&gt;""),1,0)))</f>
        <v/>
      </c>
      <c r="T31" s="5" t="inlineStr"/>
    </row>
    <row r="32">
      <c r="A32" s="5" t="inlineStr">
        <is>
          <t>P5_WOOLY_FAWN_LONGEARS_UNK</t>
        </is>
      </c>
      <c r="B32" s="5" t="inlineStr">
        <is>
          <t>(no tag) wooly fawn long ears</t>
        </is>
      </c>
      <c r="C32" s="5" t="inlineStr"/>
      <c r="D32" s="5" t="inlineStr"/>
      <c r="E32" s="6" t="n"/>
      <c r="F32" s="7">
        <f>IF($E32="","",YEAR($E32))</f>
        <v/>
      </c>
      <c r="G32" s="5">
        <f>IF($E32="","",IF(('WEIGHTS_&amp;_RULES'!$B$3-$E32)&lt;365,"Lamb",IF(('WEIGHTS_&amp;_RULES'!$B$3-$E32)&lt;730,"Yearling","Adult")))</f>
        <v/>
      </c>
      <c r="H32" s="5" t="inlineStr">
        <is>
          <t>Pen 5</t>
        </is>
      </c>
      <c r="I32" s="5" t="inlineStr">
        <is>
          <t>Inactive (not on 2026-01-06 living roster)</t>
        </is>
      </c>
      <c r="J32" s="5" t="inlineStr"/>
      <c r="K32" s="5" t="inlineStr"/>
      <c r="L32" s="5" t="inlineStr"/>
      <c r="M32" s="6" t="inlineStr"/>
      <c r="N32" s="6" t="inlineStr"/>
      <c r="O32" s="7">
        <f>IFERROR(VLOOKUP($A32,BREED_MIX!$A$2:$AB$61,2,FALSE),"")</f>
        <v/>
      </c>
      <c r="P32" s="27">
        <f>IFERROR(VLOOKUP($A32,BREED_MIX!$A$2:$AB$61,25,FALSE),"")</f>
        <v/>
      </c>
      <c r="Q32" s="27">
        <f>IFERROR(VLOOKUP($A32,BREED_MIX!$A$2:$AB$61,26,FALSE),"")</f>
        <v/>
      </c>
      <c r="R32" s="9">
        <f>IFERROR(VLOOKUP($A32,BREED_MIX!$A$2:$AB$61,27,FALSE),"")</f>
        <v/>
      </c>
      <c r="S32" s="7">
        <f>IF($A32="","",IF(AND($J32&lt;&gt;"",$K32&lt;&gt;""),2,IF(OR($J32&lt;&gt;"",$K32&lt;&gt;""),1,0)))</f>
        <v/>
      </c>
      <c r="T32" s="5" t="inlineStr">
        <is>
          <t>sex not stated</t>
        </is>
      </c>
    </row>
    <row r="33">
      <c r="A33" s="5" t="inlineStr">
        <is>
          <t>MC08</t>
        </is>
      </c>
      <c r="B33" s="5" t="inlineStr">
        <is>
          <t>Mc08</t>
        </is>
      </c>
      <c r="C33" s="5" t="inlineStr">
        <is>
          <t>Mc08</t>
        </is>
      </c>
      <c r="D33" s="5" t="inlineStr">
        <is>
          <t>R</t>
        </is>
      </c>
      <c r="E33" s="6" t="n"/>
      <c r="F33" s="7">
        <f>IF($E33="","",YEAR($E33))</f>
        <v/>
      </c>
      <c r="G33" s="5">
        <f>IF($E33="","",IF(('WEIGHTS_&amp;_RULES'!$B$3-$E33)&lt;365,"Lamb",IF(('WEIGHTS_&amp;_RULES'!$B$3-$E33)&lt;730,"Yearling","Adult")))</f>
        <v/>
      </c>
      <c r="H33" s="5" t="inlineStr">
        <is>
          <t>Pen 6</t>
        </is>
      </c>
      <c r="I33" s="5" t="inlineStr">
        <is>
          <t>Active</t>
        </is>
      </c>
      <c r="J33" s="5" t="inlineStr"/>
      <c r="K33" s="5" t="inlineStr"/>
      <c r="L33" s="5" t="inlineStr"/>
      <c r="M33" s="6" t="inlineStr"/>
      <c r="N33" s="6" t="inlineStr"/>
      <c r="O33" s="7">
        <f>IFERROR(VLOOKUP($A33,BREED_MIX!$A$2:$AB$61,2,FALSE),"")</f>
        <v/>
      </c>
      <c r="P33" s="27">
        <f>IFERROR(VLOOKUP($A33,BREED_MIX!$A$2:$AB$61,25,FALSE),"")</f>
        <v/>
      </c>
      <c r="Q33" s="27">
        <f>IFERROR(VLOOKUP($A33,BREED_MIX!$A$2:$AB$61,26,FALSE),"")</f>
        <v/>
      </c>
      <c r="R33" s="9">
        <f>IFERROR(VLOOKUP($A33,BREED_MIX!$A$2:$AB$61,27,FALSE),"")</f>
        <v/>
      </c>
      <c r="S33" s="7">
        <f>IF($A33="","",IF(AND($J33&lt;&gt;"",$K33&lt;&gt;""),2,IF(OR($J33&lt;&gt;"",$K33&lt;&gt;""),1,0)))</f>
        <v/>
      </c>
      <c r="T33" s="5" t="inlineStr"/>
    </row>
    <row r="34">
      <c r="A34" s="5" t="inlineStr">
        <is>
          <t>ELSIE</t>
        </is>
      </c>
      <c r="B34" s="5" t="inlineStr">
        <is>
          <t>Elsie</t>
        </is>
      </c>
      <c r="C34" s="5" t="inlineStr"/>
      <c r="D34" s="5" t="inlineStr">
        <is>
          <t>E</t>
        </is>
      </c>
      <c r="E34" s="6" t="inlineStr">
        <is>
          <t>2-8-22</t>
        </is>
      </c>
      <c r="F34" s="7">
        <f>IF($E34="","",YEAR($E34))</f>
        <v/>
      </c>
      <c r="G34" s="5">
        <f>IF($E34="","",IF(('WEIGHTS_&amp;_RULES'!$B$3-$E34)&lt;365,"Lamb",IF(('WEIGHTS_&amp;_RULES'!$B$3-$E34)&lt;730,"Yearling","Adult")))</f>
        <v/>
      </c>
      <c r="H34" s="5" t="inlineStr">
        <is>
          <t>Pen 6</t>
        </is>
      </c>
      <c r="I34" s="5" t="inlineStr">
        <is>
          <t>Active</t>
        </is>
      </c>
      <c r="J34" s="5" t="inlineStr">
        <is>
          <t>WELLDONE</t>
        </is>
      </c>
      <c r="K34" s="5" t="inlineStr">
        <is>
          <t>Halftail</t>
        </is>
      </c>
      <c r="L34" s="5" t="inlineStr"/>
      <c r="M34" s="6" t="inlineStr"/>
      <c r="N34" s="6" t="inlineStr"/>
      <c r="O34" s="7">
        <f>IFERROR(VLOOKUP($A34,BREED_MIX!$A$2:$AB$61,2,FALSE),"")</f>
        <v/>
      </c>
      <c r="P34" s="27">
        <f>IFERROR(VLOOKUP($A34,BREED_MIX!$A$2:$AB$61,25,FALSE),"")</f>
        <v/>
      </c>
      <c r="Q34" s="27">
        <f>IFERROR(VLOOKUP($A34,BREED_MIX!$A$2:$AB$61,26,FALSE),"")</f>
        <v/>
      </c>
      <c r="R34" s="9">
        <f>IFERROR(VLOOKUP($A34,BREED_MIX!$A$2:$AB$61,27,FALSE),"")</f>
        <v/>
      </c>
      <c r="S34" s="7">
        <f>IF($A34="","",IF(AND($J34&lt;&gt;"",$K34&lt;&gt;""),2,IF(OR($J34&lt;&gt;"",$K34&lt;&gt;""),1,0)))</f>
        <v/>
      </c>
      <c r="T34" s="5" t="inlineStr">
        <is>
          <t>tag lost (had tag 25 in records)</t>
        </is>
      </c>
    </row>
    <row r="35">
      <c r="A35" s="5" t="inlineStr">
        <is>
          <t>ELSIE_2026_L1</t>
        </is>
      </c>
      <c r="B35" s="5" t="inlineStr">
        <is>
          <t>Elsie triplet ewe lamb #1 (white)</t>
        </is>
      </c>
      <c r="C35" s="5" t="inlineStr"/>
      <c r="D35" s="5" t="inlineStr">
        <is>
          <t>E</t>
        </is>
      </c>
      <c r="E35" s="6" t="n">
        <v>46028</v>
      </c>
      <c r="F35" s="7">
        <f>IF($E35="","",YEAR($E35))</f>
        <v/>
      </c>
      <c r="G35" s="5">
        <f>IF($E35="","",IF(('WEIGHTS_&amp;_RULES'!$B$3-$E35)&lt;365,"Lamb",IF(('WEIGHTS_&amp;_RULES'!$B$3-$E35)&lt;730,"Yearling","Adult")))</f>
        <v/>
      </c>
      <c r="H35" s="5" t="inlineStr">
        <is>
          <t>Pen 6</t>
        </is>
      </c>
      <c r="I35" s="5" t="inlineStr">
        <is>
          <t>Inactive (not on 2026-01-06 living roster)</t>
        </is>
      </c>
      <c r="J35" s="5" t="inlineStr"/>
      <c r="K35" s="5" t="inlineStr">
        <is>
          <t>ELSIE</t>
        </is>
      </c>
      <c r="L35" s="5" t="inlineStr"/>
      <c r="M35" s="6" t="inlineStr"/>
      <c r="N35" s="6" t="inlineStr"/>
      <c r="O35" s="7">
        <f>IFERROR(VLOOKUP($A35,BREED_MIX!$A$2:$AB$61,2,FALSE),"")</f>
        <v/>
      </c>
      <c r="P35" s="27">
        <f>IFERROR(VLOOKUP($A35,BREED_MIX!$A$2:$AB$61,25,FALSE),"")</f>
        <v/>
      </c>
      <c r="Q35" s="27">
        <f>IFERROR(VLOOKUP($A35,BREED_MIX!$A$2:$AB$61,26,FALSE),"")</f>
        <v/>
      </c>
      <c r="R35" s="9">
        <f>IFERROR(VLOOKUP($A35,BREED_MIX!$A$2:$AB$61,27,FALSE),"")</f>
        <v/>
      </c>
      <c r="S35" s="7">
        <f>IF($A35="","",IF(AND($J35&lt;&gt;"",$K35&lt;&gt;""),2,IF(OR($J35&lt;&gt;"",$K35&lt;&gt;""),1,0)))</f>
        <v/>
      </c>
      <c r="T35" s="5" t="inlineStr">
        <is>
          <t>born 2026-01-06</t>
        </is>
      </c>
    </row>
    <row r="36">
      <c r="A36" s="5" t="inlineStr">
        <is>
          <t>ELSIE_2026_L2</t>
        </is>
      </c>
      <c r="B36" s="5" t="inlineStr">
        <is>
          <t>Elsie triplet ewe lamb #2 (white)</t>
        </is>
      </c>
      <c r="C36" s="5" t="inlineStr"/>
      <c r="D36" s="5" t="inlineStr">
        <is>
          <t>E</t>
        </is>
      </c>
      <c r="E36" s="6" t="n">
        <v>46028</v>
      </c>
      <c r="F36" s="7">
        <f>IF($E36="","",YEAR($E36))</f>
        <v/>
      </c>
      <c r="G36" s="5">
        <f>IF($E36="","",IF(('WEIGHTS_&amp;_RULES'!$B$3-$E36)&lt;365,"Lamb",IF(('WEIGHTS_&amp;_RULES'!$B$3-$E36)&lt;730,"Yearling","Adult")))</f>
        <v/>
      </c>
      <c r="H36" s="5" t="inlineStr">
        <is>
          <t>Pen 6</t>
        </is>
      </c>
      <c r="I36" s="5" t="inlineStr">
        <is>
          <t>Inactive (not on 2026-01-06 living roster)</t>
        </is>
      </c>
      <c r="J36" s="5" t="inlineStr"/>
      <c r="K36" s="5" t="inlineStr">
        <is>
          <t>ELSIE</t>
        </is>
      </c>
      <c r="L36" s="5" t="inlineStr"/>
      <c r="M36" s="6" t="inlineStr"/>
      <c r="N36" s="6" t="inlineStr"/>
      <c r="O36" s="7">
        <f>IFERROR(VLOOKUP($A36,BREED_MIX!$A$2:$AB$61,2,FALSE),"")</f>
        <v/>
      </c>
      <c r="P36" s="27">
        <f>IFERROR(VLOOKUP($A36,BREED_MIX!$A$2:$AB$61,25,FALSE),"")</f>
        <v/>
      </c>
      <c r="Q36" s="27">
        <f>IFERROR(VLOOKUP($A36,BREED_MIX!$A$2:$AB$61,26,FALSE),"")</f>
        <v/>
      </c>
      <c r="R36" s="9">
        <f>IFERROR(VLOOKUP($A36,BREED_MIX!$A$2:$AB$61,27,FALSE),"")</f>
        <v/>
      </c>
      <c r="S36" s="7">
        <f>IF($A36="","",IF(AND($J36&lt;&gt;"",$K36&lt;&gt;""),2,IF(OR($J36&lt;&gt;"",$K36&lt;&gt;""),1,0)))</f>
        <v/>
      </c>
      <c r="T36" s="5" t="inlineStr">
        <is>
          <t>born 2026-01-06</t>
        </is>
      </c>
    </row>
    <row r="37">
      <c r="A37" s="5" t="inlineStr">
        <is>
          <t>ELSIE_2026_L3</t>
        </is>
      </c>
      <c r="B37" s="5" t="inlineStr">
        <is>
          <t>Elsie triplet ram lamb (black)</t>
        </is>
      </c>
      <c r="C37" s="5" t="inlineStr"/>
      <c r="D37" s="5" t="inlineStr">
        <is>
          <t>R</t>
        </is>
      </c>
      <c r="E37" s="6" t="n">
        <v>46028</v>
      </c>
      <c r="F37" s="7">
        <f>IF($E37="","",YEAR($E37))</f>
        <v/>
      </c>
      <c r="G37" s="5">
        <f>IF($E37="","",IF(('WEIGHTS_&amp;_RULES'!$B$3-$E37)&lt;365,"Lamb",IF(('WEIGHTS_&amp;_RULES'!$B$3-$E37)&lt;730,"Yearling","Adult")))</f>
        <v/>
      </c>
      <c r="H37" s="5" t="inlineStr">
        <is>
          <t>Pen 6</t>
        </is>
      </c>
      <c r="I37" s="5" t="inlineStr">
        <is>
          <t>Inactive (not on 2026-01-06 living roster)</t>
        </is>
      </c>
      <c r="J37" s="5" t="inlineStr"/>
      <c r="K37" s="5" t="inlineStr">
        <is>
          <t>ELSIE</t>
        </is>
      </c>
      <c r="L37" s="5" t="inlineStr"/>
      <c r="M37" s="6" t="inlineStr"/>
      <c r="N37" s="6" t="inlineStr"/>
      <c r="O37" s="7">
        <f>IFERROR(VLOOKUP($A37,BREED_MIX!$A$2:$AB$61,2,FALSE),"")</f>
        <v/>
      </c>
      <c r="P37" s="27">
        <f>IFERROR(VLOOKUP($A37,BREED_MIX!$A$2:$AB$61,25,FALSE),"")</f>
        <v/>
      </c>
      <c r="Q37" s="27">
        <f>IFERROR(VLOOKUP($A37,BREED_MIX!$A$2:$AB$61,26,FALSE),"")</f>
        <v/>
      </c>
      <c r="R37" s="9">
        <f>IFERROR(VLOOKUP($A37,BREED_MIX!$A$2:$AB$61,27,FALSE),"")</f>
        <v/>
      </c>
      <c r="S37" s="7">
        <f>IF($A37="","",IF(AND($J37&lt;&gt;"",$K37&lt;&gt;""),2,IF(OR($J37&lt;&gt;"",$K37&lt;&gt;""),1,0)))</f>
        <v/>
      </c>
      <c r="T37" s="5" t="inlineStr">
        <is>
          <t>born 2026-01-06</t>
        </is>
      </c>
    </row>
    <row r="38">
      <c r="A38" s="5" t="inlineStr">
        <is>
          <t>TAG_2139</t>
        </is>
      </c>
      <c r="B38" s="5" t="inlineStr">
        <is>
          <t>2139</t>
        </is>
      </c>
      <c r="C38" s="5" t="inlineStr">
        <is>
          <t>2139</t>
        </is>
      </c>
      <c r="D38" s="5" t="inlineStr">
        <is>
          <t>E</t>
        </is>
      </c>
      <c r="E38" s="6" t="n"/>
      <c r="F38" s="7">
        <f>IF($E38="","",YEAR($E38))</f>
        <v/>
      </c>
      <c r="G38" s="5">
        <f>IF($E38="","",IF(('WEIGHTS_&amp;_RULES'!$B$3-$E38)&lt;365,"Lamb",IF(('WEIGHTS_&amp;_RULES'!$B$3-$E38)&lt;730,"Yearling","Adult")))</f>
        <v/>
      </c>
      <c r="H38" s="5" t="inlineStr">
        <is>
          <t>Pen 6</t>
        </is>
      </c>
      <c r="I38" s="5" t="inlineStr">
        <is>
          <t>Active</t>
        </is>
      </c>
      <c r="J38" s="5" t="inlineStr"/>
      <c r="K38" s="5" t="inlineStr"/>
      <c r="L38" s="5" t="inlineStr"/>
      <c r="M38" s="6" t="inlineStr"/>
      <c r="N38" s="6" t="inlineStr"/>
      <c r="O38" s="7">
        <f>IFERROR(VLOOKUP($A38,BREED_MIX!$A$2:$AB$61,2,FALSE),"")</f>
        <v/>
      </c>
      <c r="P38" s="27">
        <f>IFERROR(VLOOKUP($A38,BREED_MIX!$A$2:$AB$61,25,FALSE),"")</f>
        <v/>
      </c>
      <c r="Q38" s="27">
        <f>IFERROR(VLOOKUP($A38,BREED_MIX!$A$2:$AB$61,26,FALSE),"")</f>
        <v/>
      </c>
      <c r="R38" s="9">
        <f>IFERROR(VLOOKUP($A38,BREED_MIX!$A$2:$AB$61,27,FALSE),"")</f>
        <v/>
      </c>
      <c r="S38" s="7">
        <f>IF($A38="","",IF(AND($J38&lt;&gt;"",$K38&lt;&gt;""),2,IF(OR($J38&lt;&gt;"",$K38&lt;&gt;""),1,0)))</f>
        <v/>
      </c>
      <c r="T38" s="5" t="inlineStr">
        <is>
          <t>fat tail</t>
        </is>
      </c>
    </row>
    <row r="39">
      <c r="A39" s="5" t="inlineStr">
        <is>
          <t>TAG_0056</t>
        </is>
      </c>
      <c r="B39" s="5" t="inlineStr">
        <is>
          <t>0056</t>
        </is>
      </c>
      <c r="C39" s="5" t="inlineStr">
        <is>
          <t>0056</t>
        </is>
      </c>
      <c r="D39" s="5" t="inlineStr">
        <is>
          <t>E</t>
        </is>
      </c>
      <c r="E39" s="6" t="n"/>
      <c r="F39" s="7">
        <f>IF($E39="","",YEAR($E39))</f>
        <v/>
      </c>
      <c r="G39" s="5">
        <f>IF($E39="","",IF(('WEIGHTS_&amp;_RULES'!$B$3-$E39)&lt;365,"Lamb",IF(('WEIGHTS_&amp;_RULES'!$B$3-$E39)&lt;730,"Yearling","Adult")))</f>
        <v/>
      </c>
      <c r="H39" s="5" t="inlineStr">
        <is>
          <t>Pen 6</t>
        </is>
      </c>
      <c r="I39" s="5" t="inlineStr">
        <is>
          <t>Active</t>
        </is>
      </c>
      <c r="J39" s="5" t="inlineStr"/>
      <c r="K39" s="5" t="inlineStr"/>
      <c r="L39" s="5" t="inlineStr"/>
      <c r="M39" s="6" t="inlineStr"/>
      <c r="N39" s="6" t="inlineStr"/>
      <c r="O39" s="7">
        <f>IFERROR(VLOOKUP($A39,BREED_MIX!$A$2:$AB$61,2,FALSE),"")</f>
        <v/>
      </c>
      <c r="P39" s="27">
        <f>IFERROR(VLOOKUP($A39,BREED_MIX!$A$2:$AB$61,25,FALSE),"")</f>
        <v/>
      </c>
      <c r="Q39" s="27">
        <f>IFERROR(VLOOKUP($A39,BREED_MIX!$A$2:$AB$61,26,FALSE),"")</f>
        <v/>
      </c>
      <c r="R39" s="9">
        <f>IFERROR(VLOOKUP($A39,BREED_MIX!$A$2:$AB$61,27,FALSE),"")</f>
        <v/>
      </c>
      <c r="S39" s="7">
        <f>IF($A39="","",IF(AND($J39&lt;&gt;"",$K39&lt;&gt;""),2,IF(OR($J39&lt;&gt;"",$K39&lt;&gt;""),1,0)))</f>
        <v/>
      </c>
      <c r="T39" s="5" t="inlineStr">
        <is>
          <t>fat tail</t>
        </is>
      </c>
    </row>
    <row r="40">
      <c r="A40" s="5" t="inlineStr">
        <is>
          <t>TAG_0055</t>
        </is>
      </c>
      <c r="B40" s="5" t="inlineStr">
        <is>
          <t>0055</t>
        </is>
      </c>
      <c r="C40" s="5" t="inlineStr">
        <is>
          <t>0055</t>
        </is>
      </c>
      <c r="D40" s="5" t="inlineStr">
        <is>
          <t>E</t>
        </is>
      </c>
      <c r="E40" s="6" t="n"/>
      <c r="F40" s="7">
        <f>IF($E40="","",YEAR($E40))</f>
        <v/>
      </c>
      <c r="G40" s="5">
        <f>IF($E40="","",IF(('WEIGHTS_&amp;_RULES'!$B$3-$E40)&lt;365,"Lamb",IF(('WEIGHTS_&amp;_RULES'!$B$3-$E40)&lt;730,"Yearling","Adult")))</f>
        <v/>
      </c>
      <c r="H40" s="5" t="inlineStr">
        <is>
          <t>Pen 6</t>
        </is>
      </c>
      <c r="I40" s="5" t="inlineStr">
        <is>
          <t>Active</t>
        </is>
      </c>
      <c r="J40" s="5" t="inlineStr"/>
      <c r="K40" s="5" t="inlineStr"/>
      <c r="L40" s="5" t="inlineStr"/>
      <c r="M40" s="6" t="inlineStr"/>
      <c r="N40" s="6" t="inlineStr"/>
      <c r="O40" s="7">
        <f>IFERROR(VLOOKUP($A40,BREED_MIX!$A$2:$AB$61,2,FALSE),"")</f>
        <v/>
      </c>
      <c r="P40" s="27">
        <f>IFERROR(VLOOKUP($A40,BREED_MIX!$A$2:$AB$61,25,FALSE),"")</f>
        <v/>
      </c>
      <c r="Q40" s="27">
        <f>IFERROR(VLOOKUP($A40,BREED_MIX!$A$2:$AB$61,26,FALSE),"")</f>
        <v/>
      </c>
      <c r="R40" s="9">
        <f>IFERROR(VLOOKUP($A40,BREED_MIX!$A$2:$AB$61,27,FALSE),"")</f>
        <v/>
      </c>
      <c r="S40" s="7">
        <f>IF($A40="","",IF(AND($J40&lt;&gt;"",$K40&lt;&gt;""),2,IF(OR($J40&lt;&gt;"",$K40&lt;&gt;""),1,0)))</f>
        <v/>
      </c>
      <c r="T40" s="5" t="inlineStr">
        <is>
          <t>fat tail</t>
        </is>
      </c>
    </row>
    <row r="41">
      <c r="A41" s="5" t="inlineStr">
        <is>
          <t>OAV_2222</t>
        </is>
      </c>
      <c r="B41" s="5" t="inlineStr">
        <is>
          <t>2222</t>
        </is>
      </c>
      <c r="C41" s="5" t="inlineStr">
        <is>
          <t>2222</t>
        </is>
      </c>
      <c r="D41" s="5" t="inlineStr"/>
      <c r="E41" s="6" t="n"/>
      <c r="F41" s="7">
        <f>IF($E41="","",YEAR($E41))</f>
        <v/>
      </c>
      <c r="G41" s="5">
        <f>IF($E41="","",IF(('WEIGHTS_&amp;_RULES'!$B$3-$E41)&lt;365,"Lamb",IF(('WEIGHTS_&amp;_RULES'!$B$3-$E41)&lt;730,"Yearling","Adult")))</f>
        <v/>
      </c>
      <c r="H41" s="5" t="inlineStr">
        <is>
          <t>Pen 6</t>
        </is>
      </c>
      <c r="I41" s="5" t="inlineStr">
        <is>
          <t>Active</t>
        </is>
      </c>
      <c r="J41" s="5" t="inlineStr"/>
      <c r="K41" s="5" t="inlineStr"/>
      <c r="L41" s="5" t="inlineStr"/>
      <c r="M41" s="6" t="inlineStr"/>
      <c r="N41" s="6" t="inlineStr"/>
      <c r="O41" s="7">
        <f>IFERROR(VLOOKUP($A41,BREED_MIX!$A$2:$AB$61,2,FALSE),"")</f>
        <v/>
      </c>
      <c r="P41" s="27">
        <f>IFERROR(VLOOKUP($A41,BREED_MIX!$A$2:$AB$61,25,FALSE),"")</f>
        <v/>
      </c>
      <c r="Q41" s="27">
        <f>IFERROR(VLOOKUP($A41,BREED_MIX!$A$2:$AB$61,26,FALSE),"")</f>
        <v/>
      </c>
      <c r="R41" s="9">
        <f>IFERROR(VLOOKUP($A41,BREED_MIX!$A$2:$AB$61,27,FALSE),"")</f>
        <v/>
      </c>
      <c r="S41" s="7">
        <f>IF($A41="","",IF(AND($J41&lt;&gt;"",$K41&lt;&gt;""),2,IF(OR($J41&lt;&gt;"",$K41&lt;&gt;""),1,0)))</f>
        <v/>
      </c>
      <c r="T41" s="5" t="inlineStr">
        <is>
          <t>OAV; Kelsie's sister; sex not stated</t>
        </is>
      </c>
    </row>
    <row r="42">
      <c r="A42" s="5" t="inlineStr">
        <is>
          <t>TAG_0009</t>
        </is>
      </c>
      <c r="B42" s="5" t="inlineStr">
        <is>
          <t>09</t>
        </is>
      </c>
      <c r="C42" s="5" t="inlineStr">
        <is>
          <t>09</t>
        </is>
      </c>
      <c r="D42" s="5" t="inlineStr">
        <is>
          <t>R</t>
        </is>
      </c>
      <c r="E42" s="6" t="n"/>
      <c r="F42" s="7">
        <f>IF($E42="","",YEAR($E42))</f>
        <v/>
      </c>
      <c r="G42" s="5">
        <f>IF($E42="","",IF(('WEIGHTS_&amp;_RULES'!$B$3-$E42)&lt;365,"Lamb",IF(('WEIGHTS_&amp;_RULES'!$B$3-$E42)&lt;730,"Yearling","Adult")))</f>
        <v/>
      </c>
      <c r="H42" s="5" t="inlineStr">
        <is>
          <t>Goose Pen</t>
        </is>
      </c>
      <c r="I42" s="5" t="inlineStr">
        <is>
          <t>Active</t>
        </is>
      </c>
      <c r="J42" s="5" t="inlineStr"/>
      <c r="K42" s="5" t="inlineStr">
        <is>
          <t>GIGI</t>
        </is>
      </c>
      <c r="L42" s="5" t="inlineStr"/>
      <c r="M42" s="6" t="inlineStr"/>
      <c r="N42" s="6" t="inlineStr"/>
      <c r="O42" s="7">
        <f>IFERROR(VLOOKUP($A42,BREED_MIX!$A$2:$AB$61,2,FALSE),"")</f>
        <v/>
      </c>
      <c r="P42" s="27">
        <f>IFERROR(VLOOKUP($A42,BREED_MIX!$A$2:$AB$61,25,FALSE),"")</f>
        <v/>
      </c>
      <c r="Q42" s="27">
        <f>IFERROR(VLOOKUP($A42,BREED_MIX!$A$2:$AB$61,26,FALSE),"")</f>
        <v/>
      </c>
      <c r="R42" s="9">
        <f>IFERROR(VLOOKUP($A42,BREED_MIX!$A$2:$AB$61,27,FALSE),"")</f>
        <v/>
      </c>
      <c r="S42" s="7">
        <f>IF($A42="","",IF(AND($J42&lt;&gt;"",$K42&lt;&gt;""),2,IF(OR($J42&lt;&gt;"",$K42&lt;&gt;""),1,0)))</f>
        <v/>
      </c>
      <c r="T42" s="5" t="inlineStr">
        <is>
          <t>Gigi's son</t>
        </is>
      </c>
    </row>
    <row r="43">
      <c r="A43" s="5" t="inlineStr">
        <is>
          <t>TAG_0006</t>
        </is>
      </c>
      <c r="B43" s="5" t="inlineStr">
        <is>
          <t>06</t>
        </is>
      </c>
      <c r="C43" s="5" t="inlineStr">
        <is>
          <t>06</t>
        </is>
      </c>
      <c r="D43" s="5" t="inlineStr">
        <is>
          <t>R</t>
        </is>
      </c>
      <c r="E43" s="6" t="n"/>
      <c r="F43" s="7">
        <f>IF($E43="","",YEAR($E43))</f>
        <v/>
      </c>
      <c r="G43" s="5">
        <f>IF($E43="","",IF(('WEIGHTS_&amp;_RULES'!$B$3-$E43)&lt;365,"Lamb",IF(('WEIGHTS_&amp;_RULES'!$B$3-$E43)&lt;730,"Yearling","Adult")))</f>
        <v/>
      </c>
      <c r="H43" s="5" t="inlineStr">
        <is>
          <t>Goose Pen</t>
        </is>
      </c>
      <c r="I43" s="5" t="inlineStr">
        <is>
          <t>Active</t>
        </is>
      </c>
      <c r="J43" s="5" t="inlineStr"/>
      <c r="K43" s="5" t="inlineStr"/>
      <c r="L43" s="5" t="inlineStr"/>
      <c r="M43" s="6" t="inlineStr"/>
      <c r="N43" s="6" t="inlineStr"/>
      <c r="O43" s="7">
        <f>IFERROR(VLOOKUP($A43,BREED_MIX!$A$2:$AB$61,2,FALSE),"")</f>
        <v/>
      </c>
      <c r="P43" s="27">
        <f>IFERROR(VLOOKUP($A43,BREED_MIX!$A$2:$AB$61,25,FALSE),"")</f>
        <v/>
      </c>
      <c r="Q43" s="27">
        <f>IFERROR(VLOOKUP($A43,BREED_MIX!$A$2:$AB$61,26,FALSE),"")</f>
        <v/>
      </c>
      <c r="R43" s="9">
        <f>IFERROR(VLOOKUP($A43,BREED_MIX!$A$2:$AB$61,27,FALSE),"")</f>
        <v/>
      </c>
      <c r="S43" s="7">
        <f>IF($A43="","",IF(AND($J43&lt;&gt;"",$K43&lt;&gt;""),2,IF(OR($J43&lt;&gt;"",$K43&lt;&gt;""),1,0)))</f>
        <v/>
      </c>
      <c r="T43" s="5" t="inlineStr">
        <is>
          <t>white with tan knees</t>
        </is>
      </c>
    </row>
    <row r="44">
      <c r="A44" s="5" t="inlineStr">
        <is>
          <t>GP_RAM_LAMB_FAWN_01</t>
        </is>
      </c>
      <c r="B44" s="5" t="inlineStr">
        <is>
          <t>Ram lamb (fawn to light tan)</t>
        </is>
      </c>
      <c r="C44" s="5" t="inlineStr"/>
      <c r="D44" s="5" t="inlineStr">
        <is>
          <t>R</t>
        </is>
      </c>
      <c r="E44" s="6" t="n"/>
      <c r="F44" s="7">
        <f>IF($E44="","",YEAR($E44))</f>
        <v/>
      </c>
      <c r="G44" s="5">
        <f>IF($E44="","",IF(('WEIGHTS_&amp;_RULES'!$B$3-$E44)&lt;365,"Lamb",IF(('WEIGHTS_&amp;_RULES'!$B$3-$E44)&lt;730,"Yearling","Adult")))</f>
        <v/>
      </c>
      <c r="H44" s="5" t="inlineStr">
        <is>
          <t>Goose Pen</t>
        </is>
      </c>
      <c r="I44" s="5" t="inlineStr">
        <is>
          <t>Active</t>
        </is>
      </c>
      <c r="J44" s="5" t="inlineStr"/>
      <c r="K44" s="5" t="inlineStr"/>
      <c r="L44" s="5" t="inlineStr"/>
      <c r="M44" s="6" t="inlineStr"/>
      <c r="N44" s="6" t="inlineStr"/>
      <c r="O44" s="7">
        <f>IFERROR(VLOOKUP($A44,BREED_MIX!$A$2:$AB$61,2,FALSE),"")</f>
        <v/>
      </c>
      <c r="P44" s="27">
        <f>IFERROR(VLOOKUP($A44,BREED_MIX!$A$2:$AB$61,25,FALSE),"")</f>
        <v/>
      </c>
      <c r="Q44" s="27">
        <f>IFERROR(VLOOKUP($A44,BREED_MIX!$A$2:$AB$61,26,FALSE),"")</f>
        <v/>
      </c>
      <c r="R44" s="9">
        <f>IFERROR(VLOOKUP($A44,BREED_MIX!$A$2:$AB$61,27,FALSE),"")</f>
        <v/>
      </c>
      <c r="S44" s="7">
        <f>IF($A44="","",IF(AND($J44&lt;&gt;"",$K44&lt;&gt;""),2,IF(OR($J44&lt;&gt;"",$K44&lt;&gt;""),1,0)))</f>
        <v/>
      </c>
      <c r="T44" s="5" t="inlineStr">
        <is>
          <t>no tag</t>
        </is>
      </c>
    </row>
    <row r="45">
      <c r="A45" s="5" t="inlineStr">
        <is>
          <t>TAG_0050</t>
        </is>
      </c>
      <c r="B45" s="5" t="inlineStr">
        <is>
          <t>50</t>
        </is>
      </c>
      <c r="C45" s="5" t="inlineStr">
        <is>
          <t>50</t>
        </is>
      </c>
      <c r="D45" s="5" t="inlineStr">
        <is>
          <t>E</t>
        </is>
      </c>
      <c r="E45" s="6" t="n"/>
      <c r="F45" s="7">
        <f>IF($E45="","",YEAR($E45))</f>
        <v/>
      </c>
      <c r="G45" s="5">
        <f>IF($E45="","",IF(('WEIGHTS_&amp;_RULES'!$B$3-$E45)&lt;365,"Lamb",IF(('WEIGHTS_&amp;_RULES'!$B$3-$E45)&lt;730,"Yearling","Adult")))</f>
        <v/>
      </c>
      <c r="H45" s="5" t="inlineStr">
        <is>
          <t>Goose Pen</t>
        </is>
      </c>
      <c r="I45" s="5" t="inlineStr">
        <is>
          <t>Active</t>
        </is>
      </c>
      <c r="J45" s="5" t="inlineStr"/>
      <c r="K45" s="5" t="inlineStr"/>
      <c r="L45" s="5" t="inlineStr"/>
      <c r="M45" s="6" t="inlineStr"/>
      <c r="N45" s="6" t="inlineStr"/>
      <c r="O45" s="7">
        <f>IFERROR(VLOOKUP($A45,BREED_MIX!$A$2:$AB$61,2,FALSE),"")</f>
        <v/>
      </c>
      <c r="P45" s="27">
        <f>IFERROR(VLOOKUP($A45,BREED_MIX!$A$2:$AB$61,25,FALSE),"")</f>
        <v/>
      </c>
      <c r="Q45" s="27">
        <f>IFERROR(VLOOKUP($A45,BREED_MIX!$A$2:$AB$61,26,FALSE),"")</f>
        <v/>
      </c>
      <c r="R45" s="9">
        <f>IFERROR(VLOOKUP($A45,BREED_MIX!$A$2:$AB$61,27,FALSE),"")</f>
        <v/>
      </c>
      <c r="S45" s="7">
        <f>IF($A45="","",IF(AND($J45&lt;&gt;"",$K45&lt;&gt;""),2,IF(OR($J45&lt;&gt;"",$K45&lt;&gt;""),1,0)))</f>
        <v/>
      </c>
      <c r="T45" s="5" t="inlineStr">
        <is>
          <t>wooly tan</t>
        </is>
      </c>
    </row>
    <row r="46">
      <c r="A46" s="5" t="inlineStr">
        <is>
          <t>TAG_0049</t>
        </is>
      </c>
      <c r="B46" s="5" t="inlineStr">
        <is>
          <t>49</t>
        </is>
      </c>
      <c r="C46" s="5" t="inlineStr">
        <is>
          <t>49</t>
        </is>
      </c>
      <c r="D46" s="5" t="inlineStr">
        <is>
          <t>E</t>
        </is>
      </c>
      <c r="E46" s="6" t="n"/>
      <c r="F46" s="7">
        <f>IF($E46="","",YEAR($E46))</f>
        <v/>
      </c>
      <c r="G46" s="5">
        <f>IF($E46="","",IF(('WEIGHTS_&amp;_RULES'!$B$3-$E46)&lt;365,"Lamb",IF(('WEIGHTS_&amp;_RULES'!$B$3-$E46)&lt;730,"Yearling","Adult")))</f>
        <v/>
      </c>
      <c r="H46" s="5" t="inlineStr">
        <is>
          <t>Goose Pen</t>
        </is>
      </c>
      <c r="I46" s="5" t="inlineStr">
        <is>
          <t>Active</t>
        </is>
      </c>
      <c r="J46" s="5" t="inlineStr"/>
      <c r="K46" s="5" t="inlineStr"/>
      <c r="L46" s="5" t="inlineStr"/>
      <c r="M46" s="6" t="inlineStr"/>
      <c r="N46" s="6" t="inlineStr"/>
      <c r="O46" s="7">
        <f>IFERROR(VLOOKUP($A46,BREED_MIX!$A$2:$AB$61,2,FALSE),"")</f>
        <v/>
      </c>
      <c r="P46" s="27">
        <f>IFERROR(VLOOKUP($A46,BREED_MIX!$A$2:$AB$61,25,FALSE),"")</f>
        <v/>
      </c>
      <c r="Q46" s="27">
        <f>IFERROR(VLOOKUP($A46,BREED_MIX!$A$2:$AB$61,26,FALSE),"")</f>
        <v/>
      </c>
      <c r="R46" s="9">
        <f>IFERROR(VLOOKUP($A46,BREED_MIX!$A$2:$AB$61,27,FALSE),"")</f>
        <v/>
      </c>
      <c r="S46" s="7">
        <f>IF($A46="","",IF(AND($J46&lt;&gt;"",$K46&lt;&gt;""),2,IF(OR($J46&lt;&gt;"",$K46&lt;&gt;""),1,0)))</f>
        <v/>
      </c>
      <c r="T46" s="5" t="inlineStr">
        <is>
          <t>Lara's daughter</t>
        </is>
      </c>
    </row>
    <row r="47">
      <c r="A47" s="5" t="inlineStr">
        <is>
          <t>WHITE_EWE_NOTAG</t>
        </is>
      </c>
      <c r="B47" s="5" t="inlineStr">
        <is>
          <t>White ewe (no tag)</t>
        </is>
      </c>
      <c r="C47" s="5" t="inlineStr"/>
      <c r="D47" s="5" t="inlineStr">
        <is>
          <t>E</t>
        </is>
      </c>
      <c r="E47" s="6" t="n"/>
      <c r="F47" s="7">
        <f>IF($E47="","",YEAR($E47))</f>
        <v/>
      </c>
      <c r="G47" s="5">
        <f>IF($E47="","",IF(('WEIGHTS_&amp;_RULES'!$B$3-$E47)&lt;365,"Lamb",IF(('WEIGHTS_&amp;_RULES'!$B$3-$E47)&lt;730,"Yearling","Adult")))</f>
        <v/>
      </c>
      <c r="H47" s="5" t="inlineStr">
        <is>
          <t>Goose Pen</t>
        </is>
      </c>
      <c r="I47" s="5" t="inlineStr">
        <is>
          <t>Inactive (not on 2026-01-06 living roster)</t>
        </is>
      </c>
      <c r="J47" s="5" t="inlineStr"/>
      <c r="K47" s="5" t="inlineStr"/>
      <c r="L47" s="5" t="inlineStr"/>
      <c r="M47" s="6" t="inlineStr"/>
      <c r="N47" s="6" t="inlineStr"/>
      <c r="O47" s="7">
        <f>IFERROR(VLOOKUP($A47,BREED_MIX!$A$2:$AB$61,2,FALSE),"")</f>
        <v/>
      </c>
      <c r="P47" s="27">
        <f>IFERROR(VLOOKUP($A47,BREED_MIX!$A$2:$AB$61,25,FALSE),"")</f>
        <v/>
      </c>
      <c r="Q47" s="27">
        <f>IFERROR(VLOOKUP($A47,BREED_MIX!$A$2:$AB$61,26,FALSE),"")</f>
        <v/>
      </c>
      <c r="R47" s="9">
        <f>IFERROR(VLOOKUP($A47,BREED_MIX!$A$2:$AB$61,27,FALSE),"")</f>
        <v/>
      </c>
      <c r="S47" s="7">
        <f>IF($A47="","",IF(AND($J47&lt;&gt;"",$K47&lt;&gt;""),2,IF(OR($J47&lt;&gt;"",$K47&lt;&gt;""),1,0)))</f>
        <v/>
      </c>
      <c r="T47" s="5" t="inlineStr">
        <is>
          <t>female hair sheep</t>
        </is>
      </c>
    </row>
    <row r="48">
      <c r="A48" s="5" t="inlineStr">
        <is>
          <t>BUCK_2433</t>
        </is>
      </c>
      <c r="B48" s="5" t="inlineStr">
        <is>
          <t>Buck</t>
        </is>
      </c>
      <c r="C48" s="5" t="inlineStr">
        <is>
          <t>2433</t>
        </is>
      </c>
      <c r="D48" s="5" t="inlineStr">
        <is>
          <t>R</t>
        </is>
      </c>
      <c r="E48" s="6" t="n"/>
      <c r="F48" s="7">
        <f>IF($E48="","",YEAR($E48))</f>
        <v/>
      </c>
      <c r="G48" s="5">
        <f>IF($E48="","",IF(('WEIGHTS_&amp;_RULES'!$B$3-$E48)&lt;365,"Lamb",IF(('WEIGHTS_&amp;_RULES'!$B$3-$E48)&lt;730,"Yearling","Adult")))</f>
        <v/>
      </c>
      <c r="H48" s="5" t="inlineStr">
        <is>
          <t>Tree Fort</t>
        </is>
      </c>
      <c r="I48" s="5" t="inlineStr">
        <is>
          <t>Active</t>
        </is>
      </c>
      <c r="J48" s="5" t="inlineStr"/>
      <c r="K48" s="5" t="inlineStr"/>
      <c r="L48" s="5" t="inlineStr"/>
      <c r="M48" s="6" t="inlineStr"/>
      <c r="N48" s="6" t="inlineStr"/>
      <c r="O48" s="7">
        <f>IFERROR(VLOOKUP($A48,BREED_MIX!$A$2:$AB$61,2,FALSE),"")</f>
        <v/>
      </c>
      <c r="P48" s="27">
        <f>IFERROR(VLOOKUP($A48,BREED_MIX!$A$2:$AB$61,25,FALSE),"")</f>
        <v/>
      </c>
      <c r="Q48" s="27">
        <f>IFERROR(VLOOKUP($A48,BREED_MIX!$A$2:$AB$61,26,FALSE),"")</f>
        <v/>
      </c>
      <c r="R48" s="9">
        <f>IFERROR(VLOOKUP($A48,BREED_MIX!$A$2:$AB$61,27,FALSE),"")</f>
        <v/>
      </c>
      <c r="S48" s="7">
        <f>IF($A48="","",IF(AND($J48&lt;&gt;"",$K48&lt;&gt;""),2,IF(OR($J48&lt;&gt;"",$K48&lt;&gt;""),1,0)))</f>
        <v/>
      </c>
      <c r="T48" s="5" t="inlineStr">
        <is>
          <t>Buck (2433)</t>
        </is>
      </c>
    </row>
    <row r="49">
      <c r="A49" s="5" t="inlineStr">
        <is>
          <t>TAG_0035</t>
        </is>
      </c>
      <c r="B49" s="5" t="inlineStr">
        <is>
          <t>0035</t>
        </is>
      </c>
      <c r="C49" s="5" t="inlineStr">
        <is>
          <t>0035</t>
        </is>
      </c>
      <c r="D49" s="5" t="inlineStr">
        <is>
          <t>E</t>
        </is>
      </c>
      <c r="E49" s="6" t="n"/>
      <c r="F49" s="7">
        <f>IF($E49="","",YEAR($E49))</f>
        <v/>
      </c>
      <c r="G49" s="5">
        <f>IF($E49="","",IF(('WEIGHTS_&amp;_RULES'!$B$3-$E49)&lt;365,"Lamb",IF(('WEIGHTS_&amp;_RULES'!$B$3-$E49)&lt;730,"Yearling","Adult")))</f>
        <v/>
      </c>
      <c r="H49" s="5" t="inlineStr">
        <is>
          <t>Tree Fort</t>
        </is>
      </c>
      <c r="I49" s="5" t="inlineStr">
        <is>
          <t>Active</t>
        </is>
      </c>
      <c r="J49" s="5" t="inlineStr"/>
      <c r="K49" s="5" t="inlineStr"/>
      <c r="L49" s="5" t="inlineStr"/>
      <c r="M49" s="6" t="inlineStr"/>
      <c r="N49" s="6" t="inlineStr"/>
      <c r="O49" s="7">
        <f>IFERROR(VLOOKUP($A49,BREED_MIX!$A$2:$AB$61,2,FALSE),"")</f>
        <v/>
      </c>
      <c r="P49" s="27">
        <f>IFERROR(VLOOKUP($A49,BREED_MIX!$A$2:$AB$61,25,FALSE),"")</f>
        <v/>
      </c>
      <c r="Q49" s="27">
        <f>IFERROR(VLOOKUP($A49,BREED_MIX!$A$2:$AB$61,26,FALSE),"")</f>
        <v/>
      </c>
      <c r="R49" s="9">
        <f>IFERROR(VLOOKUP($A49,BREED_MIX!$A$2:$AB$61,27,FALSE),"")</f>
        <v/>
      </c>
      <c r="S49" s="7">
        <f>IF($A49="","",IF(AND($J49&lt;&gt;"",$K49&lt;&gt;""),2,IF(OR($J49&lt;&gt;"",$K49&lt;&gt;""),1,0)))</f>
        <v/>
      </c>
      <c r="T49" s="5" t="inlineStr">
        <is>
          <t>white tag; hair sheep; one of sirloins</t>
        </is>
      </c>
    </row>
    <row r="50">
      <c r="A50" s="5" t="inlineStr">
        <is>
          <t>CHARLIES_EWE_3</t>
        </is>
      </c>
      <c r="B50" s="5" t="inlineStr">
        <is>
          <t>Charlie's ewe 3</t>
        </is>
      </c>
      <c r="C50" s="5" t="inlineStr"/>
      <c r="D50" s="5" t="inlineStr">
        <is>
          <t>E</t>
        </is>
      </c>
      <c r="E50" s="6" t="n"/>
      <c r="F50" s="7">
        <f>IF($E50="","",YEAR($E50))</f>
        <v/>
      </c>
      <c r="G50" s="5">
        <f>IF($E50="","",IF(('WEIGHTS_&amp;_RULES'!$B$3-$E50)&lt;365,"Lamb",IF(('WEIGHTS_&amp;_RULES'!$B$3-$E50)&lt;730,"Yearling","Adult")))</f>
        <v/>
      </c>
      <c r="H50" s="5" t="inlineStr">
        <is>
          <t>Tree Fort</t>
        </is>
      </c>
      <c r="I50" s="5" t="inlineStr">
        <is>
          <t>Active</t>
        </is>
      </c>
      <c r="J50" s="5" t="inlineStr"/>
      <c r="K50" s="5" t="inlineStr"/>
      <c r="L50" s="5" t="inlineStr"/>
      <c r="M50" s="6" t="inlineStr"/>
      <c r="N50" s="6" t="inlineStr"/>
      <c r="O50" s="7">
        <f>IFERROR(VLOOKUP($A50,BREED_MIX!$A$2:$AB$61,2,FALSE),"")</f>
        <v/>
      </c>
      <c r="P50" s="27">
        <f>IFERROR(VLOOKUP($A50,BREED_MIX!$A$2:$AB$61,25,FALSE),"")</f>
        <v/>
      </c>
      <c r="Q50" s="27">
        <f>IFERROR(VLOOKUP($A50,BREED_MIX!$A$2:$AB$61,26,FALSE),"")</f>
        <v/>
      </c>
      <c r="R50" s="9">
        <f>IFERROR(VLOOKUP($A50,BREED_MIX!$A$2:$AB$61,27,FALSE),"")</f>
        <v/>
      </c>
      <c r="S50" s="7">
        <f>IF($A50="","",IF(AND($J50&lt;&gt;"",$K50&lt;&gt;""),2,IF(OR($J50&lt;&gt;"",$K50&lt;&gt;""),1,0)))</f>
        <v/>
      </c>
      <c r="T50" s="5" t="inlineStr">
        <is>
          <t>no tag</t>
        </is>
      </c>
    </row>
    <row r="51">
      <c r="A51" s="5" t="inlineStr">
        <is>
          <t>TF_EWE_LAMB_01</t>
        </is>
      </c>
      <c r="B51" s="5" t="inlineStr">
        <is>
          <t>Ewe lamb (unknown)</t>
        </is>
      </c>
      <c r="C51" s="5" t="inlineStr"/>
      <c r="D51" s="5" t="inlineStr">
        <is>
          <t>E</t>
        </is>
      </c>
      <c r="E51" s="6" t="n"/>
      <c r="F51" s="7">
        <f>IF($E51="","",YEAR($E51))</f>
        <v/>
      </c>
      <c r="G51" s="5">
        <f>IF($E51="","",IF(('WEIGHTS_&amp;_RULES'!$B$3-$E51)&lt;365,"Lamb",IF(('WEIGHTS_&amp;_RULES'!$B$3-$E51)&lt;730,"Yearling","Adult")))</f>
        <v/>
      </c>
      <c r="H51" s="5" t="inlineStr">
        <is>
          <t>Tree Fort</t>
        </is>
      </c>
      <c r="I51" s="5" t="inlineStr">
        <is>
          <t>Inactive (not on 2026-01-06 living roster)</t>
        </is>
      </c>
      <c r="J51" s="5" t="inlineStr"/>
      <c r="K51" s="5" t="inlineStr"/>
      <c r="L51" s="5" t="inlineStr"/>
      <c r="M51" s="6" t="inlineStr"/>
      <c r="N51" s="6" t="inlineStr"/>
      <c r="O51" s="7">
        <f>IFERROR(VLOOKUP($A51,BREED_MIX!$A$2:$AB$61,2,FALSE),"")</f>
        <v/>
      </c>
      <c r="P51" s="27">
        <f>IFERROR(VLOOKUP($A51,BREED_MIX!$A$2:$AB$61,25,FALSE),"")</f>
        <v/>
      </c>
      <c r="Q51" s="27">
        <f>IFERROR(VLOOKUP($A51,BREED_MIX!$A$2:$AB$61,26,FALSE),"")</f>
        <v/>
      </c>
      <c r="R51" s="9">
        <f>IFERROR(VLOOKUP($A51,BREED_MIX!$A$2:$AB$61,27,FALSE),"")</f>
        <v/>
      </c>
      <c r="S51" s="7">
        <f>IF($A51="","",IF(AND($J51&lt;&gt;"",$K51&lt;&gt;""),2,IF(OR($J51&lt;&gt;"",$K51&lt;&gt;""),1,0)))</f>
        <v/>
      </c>
      <c r="T51" s="5" t="inlineStr">
        <is>
          <t>no tag</t>
        </is>
      </c>
    </row>
    <row r="52">
      <c r="A52" s="5" t="inlineStr">
        <is>
          <t>TAG_0035B</t>
        </is>
      </c>
      <c r="B52" s="5" t="inlineStr">
        <is>
          <t>35</t>
        </is>
      </c>
      <c r="C52" s="5" t="inlineStr">
        <is>
          <t>35</t>
        </is>
      </c>
      <c r="D52" s="5" t="inlineStr">
        <is>
          <t>E</t>
        </is>
      </c>
      <c r="E52" s="6" t="n"/>
      <c r="F52" s="7">
        <f>IF($E52="","",YEAR($E52))</f>
        <v/>
      </c>
      <c r="G52" s="5">
        <f>IF($E52="","",IF(('WEIGHTS_&amp;_RULES'!$B$3-$E52)&lt;365,"Lamb",IF(('WEIGHTS_&amp;_RULES'!$B$3-$E52)&lt;730,"Yearling","Adult")))</f>
        <v/>
      </c>
      <c r="H52" s="5" t="inlineStr">
        <is>
          <t>Tree Fort</t>
        </is>
      </c>
      <c r="I52" s="5" t="inlineStr">
        <is>
          <t>Active</t>
        </is>
      </c>
      <c r="J52" s="5" t="inlineStr"/>
      <c r="K52" s="5" t="inlineStr"/>
      <c r="L52" s="5" t="inlineStr"/>
      <c r="M52" s="6" t="inlineStr"/>
      <c r="N52" s="6" t="inlineStr"/>
      <c r="O52" s="7">
        <f>IFERROR(VLOOKUP($A52,BREED_MIX!$A$2:$AB$61,2,FALSE),"")</f>
        <v/>
      </c>
      <c r="P52" s="27">
        <f>IFERROR(VLOOKUP($A52,BREED_MIX!$A$2:$AB$61,25,FALSE),"")</f>
        <v/>
      </c>
      <c r="Q52" s="27">
        <f>IFERROR(VLOOKUP($A52,BREED_MIX!$A$2:$AB$61,26,FALSE),"")</f>
        <v/>
      </c>
      <c r="R52" s="9">
        <f>IFERROR(VLOOKUP($A52,BREED_MIX!$A$2:$AB$61,27,FALSE),"")</f>
        <v/>
      </c>
      <c r="S52" s="7">
        <f>IF($A52="","",IF(AND($J52&lt;&gt;"",$K52&lt;&gt;""),2,IF(OR($J52&lt;&gt;"",$K52&lt;&gt;""),1,0)))</f>
        <v/>
      </c>
      <c r="T52" s="5" t="inlineStr">
        <is>
          <t>orange tag; hair/wool cross</t>
        </is>
      </c>
    </row>
    <row r="53">
      <c r="A53" s="5" t="inlineStr">
        <is>
          <t>SIRLOIN</t>
        </is>
      </c>
      <c r="B53" s="5" t="inlineStr">
        <is>
          <t>Sir Loin</t>
        </is>
      </c>
      <c r="C53" s="5" t="inlineStr">
        <is>
          <t>0</t>
        </is>
      </c>
      <c r="D53" s="5" t="inlineStr">
        <is>
          <t>R</t>
        </is>
      </c>
      <c r="E53" s="6" t="n">
        <v>40909</v>
      </c>
      <c r="F53" s="7">
        <f>IF($E53="","",YEAR($E53))</f>
        <v/>
      </c>
      <c r="G53" s="5">
        <f>IF($E53="","",IF(('WEIGHTS_&amp;_RULES'!$B$3-$E53)&lt;365,"Lamb",IF(('WEIGHTS_&amp;_RULES'!$B$3-$E53)&lt;730,"Yearling","Adult")))</f>
        <v/>
      </c>
      <c r="H53" s="5" t="inlineStr">
        <is>
          <t>Other</t>
        </is>
      </c>
      <c r="I53" s="5" t="inlineStr">
        <is>
          <t>Inactive (not on 2026-01-06 living roster)</t>
        </is>
      </c>
      <c r="J53" s="5" t="inlineStr">
        <is>
          <t>CHIP</t>
        </is>
      </c>
      <c r="K53" s="5" t="inlineStr">
        <is>
          <t>SHIRLEY</t>
        </is>
      </c>
      <c r="L53" s="5" t="inlineStr">
        <is>
          <t>CSV</t>
        </is>
      </c>
      <c r="M53" s="6" t="inlineStr"/>
      <c r="N53" s="6" t="inlineStr"/>
      <c r="O53" s="7">
        <f>IFERROR(VLOOKUP($A53,BREED_MIX!$A$2:$AB$61,2,FALSE),"")</f>
        <v/>
      </c>
      <c r="P53" s="27">
        <f>IFERROR(VLOOKUP($A53,BREED_MIX!$A$2:$AB$61,25,FALSE),"")</f>
        <v/>
      </c>
      <c r="Q53" s="27">
        <f>IFERROR(VLOOKUP($A53,BREED_MIX!$A$2:$AB$61,26,FALSE),"")</f>
        <v/>
      </c>
      <c r="R53" s="9">
        <f>IFERROR(VLOOKUP($A53,BREED_MIX!$A$2:$AB$61,27,FALSE),"")</f>
        <v/>
      </c>
      <c r="S53" s="7">
        <f>IF($A53="","",IF(AND($J53&lt;&gt;"",$K53&lt;&gt;""),2,IF(OR($J53&lt;&gt;"",$K53&lt;&gt;""),1,0)))</f>
        <v/>
      </c>
      <c r="T53" s="5" t="inlineStr">
        <is>
          <t>From CSV roster; Breed: St Augustine; Status in CSV: Alive</t>
        </is>
      </c>
    </row>
    <row r="54">
      <c r="A54" s="5" t="inlineStr">
        <is>
          <t>SMORE</t>
        </is>
      </c>
      <c r="B54" s="5" t="inlineStr">
        <is>
          <t>S'More</t>
        </is>
      </c>
      <c r="C54" s="5" t="inlineStr">
        <is>
          <t>1</t>
        </is>
      </c>
      <c r="D54" s="5" t="inlineStr">
        <is>
          <t>R</t>
        </is>
      </c>
      <c r="E54" s="6" t="inlineStr">
        <is>
          <t>1-14-21</t>
        </is>
      </c>
      <c r="F54" s="7">
        <f>IF($E54="","",YEAR($E54))</f>
        <v/>
      </c>
      <c r="G54" s="5">
        <f>IF($E54="","",IF(('WEIGHTS_&amp;_RULES'!$B$3-$E54)&lt;365,"Lamb",IF(('WEIGHTS_&amp;_RULES'!$B$3-$E54)&lt;730,"Yearling","Adult")))</f>
        <v/>
      </c>
      <c r="H54" s="5" t="inlineStr">
        <is>
          <t>Other</t>
        </is>
      </c>
      <c r="I54" s="5" t="inlineStr">
        <is>
          <t>Inactive (not on 2026-01-06 living roster)</t>
        </is>
      </c>
      <c r="J54" s="5" t="inlineStr">
        <is>
          <t>GIGANTUS</t>
        </is>
      </c>
      <c r="K54" s="5" t="inlineStr">
        <is>
          <t>MINNIE</t>
        </is>
      </c>
      <c r="L54" s="5" t="inlineStr">
        <is>
          <t>CSV</t>
        </is>
      </c>
      <c r="M54" s="6" t="inlineStr"/>
      <c r="N54" s="6" t="inlineStr"/>
      <c r="O54" s="7">
        <f>IFERROR(VLOOKUP($A54,BREED_MIX!$A$2:$AB$61,2,FALSE),"")</f>
        <v/>
      </c>
      <c r="P54" s="27">
        <f>IFERROR(VLOOKUP($A54,BREED_MIX!$A$2:$AB$61,25,FALSE),"")</f>
        <v/>
      </c>
      <c r="Q54" s="27">
        <f>IFERROR(VLOOKUP($A54,BREED_MIX!$A$2:$AB$61,26,FALSE),"")</f>
        <v/>
      </c>
      <c r="R54" s="9">
        <f>IFERROR(VLOOKUP($A54,BREED_MIX!$A$2:$AB$61,27,FALSE),"")</f>
        <v/>
      </c>
      <c r="S54" s="7">
        <f>IF($A54="","",IF(AND($J54&lt;&gt;"",$K54&lt;&gt;""),2,IF(OR($J54&lt;&gt;"",$K54&lt;&gt;""),1,0)))</f>
        <v/>
      </c>
      <c r="T54" s="5" t="inlineStr">
        <is>
          <t>From CSV roster; Breed: Cracker; Status in CSV: Alive</t>
        </is>
      </c>
    </row>
    <row r="55">
      <c r="A55" s="5" t="inlineStr">
        <is>
          <t>WELLDONE</t>
        </is>
      </c>
      <c r="B55" s="5" t="inlineStr">
        <is>
          <t>Well Done</t>
        </is>
      </c>
      <c r="C55" s="5" t="inlineStr">
        <is>
          <t>2</t>
        </is>
      </c>
      <c r="D55" s="5" t="inlineStr">
        <is>
          <t>R</t>
        </is>
      </c>
      <c r="E55" s="6" t="n">
        <v>44241</v>
      </c>
      <c r="F55" s="7">
        <f>IF($E55="","",YEAR($E55))</f>
        <v/>
      </c>
      <c r="G55" s="5">
        <f>IF($E55="","",IF(('WEIGHTS_&amp;_RULES'!$B$3-$E55)&lt;365,"Lamb",IF(('WEIGHTS_&amp;_RULES'!$B$3-$E55)&lt;730,"Yearling","Adult")))</f>
        <v/>
      </c>
      <c r="H55" s="5" t="inlineStr">
        <is>
          <t>Other</t>
        </is>
      </c>
      <c r="I55" s="5" t="inlineStr">
        <is>
          <t>Inactive (not on 2026-01-06 living roster)</t>
        </is>
      </c>
      <c r="J55" s="5" t="inlineStr">
        <is>
          <t>BIGDADDY</t>
        </is>
      </c>
      <c r="K55" s="5" t="inlineStr">
        <is>
          <t>GOLF</t>
        </is>
      </c>
      <c r="L55" s="5" t="inlineStr">
        <is>
          <t>CSV</t>
        </is>
      </c>
      <c r="M55" s="6" t="inlineStr"/>
      <c r="N55" s="6" t="inlineStr"/>
      <c r="O55" s="7">
        <f>IFERROR(VLOOKUP($A55,BREED_MIX!$A$2:$AB$61,2,FALSE),"")</f>
        <v/>
      </c>
      <c r="P55" s="27">
        <f>IFERROR(VLOOKUP($A55,BREED_MIX!$A$2:$AB$61,25,FALSE),"")</f>
        <v/>
      </c>
      <c r="Q55" s="27">
        <f>IFERROR(VLOOKUP($A55,BREED_MIX!$A$2:$AB$61,26,FALSE),"")</f>
        <v/>
      </c>
      <c r="R55" s="9">
        <f>IFERROR(VLOOKUP($A55,BREED_MIX!$A$2:$AB$61,27,FALSE),"")</f>
        <v/>
      </c>
      <c r="S55" s="7">
        <f>IF($A55="","",IF(AND($J55&lt;&gt;"",$K55&lt;&gt;""),2,IF(OR($J55&lt;&gt;"",$K55&lt;&gt;""),1,0)))</f>
        <v/>
      </c>
      <c r="T55" s="5" t="inlineStr">
        <is>
          <t>From CSV roster; Breed: Katahdin; Status in CSV: Alive</t>
        </is>
      </c>
    </row>
    <row r="56">
      <c r="A56" s="5" t="inlineStr">
        <is>
          <t>ANNA</t>
        </is>
      </c>
      <c r="B56" s="5" t="inlineStr">
        <is>
          <t>Anna</t>
        </is>
      </c>
      <c r="C56" s="5" t="inlineStr">
        <is>
          <t>3</t>
        </is>
      </c>
      <c r="D56" s="5" t="inlineStr">
        <is>
          <t>E</t>
        </is>
      </c>
      <c r="E56" s="6" t="n">
        <v>40179</v>
      </c>
      <c r="F56" s="7">
        <f>IF($E56="","",YEAR($E56))</f>
        <v/>
      </c>
      <c r="G56" s="5">
        <f>IF($E56="","",IF(('WEIGHTS_&amp;_RULES'!$B$3-$E56)&lt;365,"Lamb",IF(('WEIGHTS_&amp;_RULES'!$B$3-$E56)&lt;730,"Yearling","Adult")))</f>
        <v/>
      </c>
      <c r="H56" s="5" t="inlineStr">
        <is>
          <t>Other</t>
        </is>
      </c>
      <c r="I56" s="5" t="inlineStr">
        <is>
          <t>Inactive (not on 2026-01-06 living roster)</t>
        </is>
      </c>
      <c r="J56" s="5" t="inlineStr">
        <is>
          <t>SHOWKING</t>
        </is>
      </c>
      <c r="K56" s="5" t="inlineStr">
        <is>
          <t>QUEEN</t>
        </is>
      </c>
      <c r="L56" s="5" t="inlineStr">
        <is>
          <t>CSV</t>
        </is>
      </c>
      <c r="M56" s="6" t="inlineStr"/>
      <c r="N56" s="6" t="inlineStr"/>
      <c r="O56" s="7">
        <f>IFERROR(VLOOKUP($A56,BREED_MIX!$A$2:$AB$61,2,FALSE),"")</f>
        <v/>
      </c>
      <c r="P56" s="27">
        <f>IFERROR(VLOOKUP($A56,BREED_MIX!$A$2:$AB$61,25,FALSE),"")</f>
        <v/>
      </c>
      <c r="Q56" s="27">
        <f>IFERROR(VLOOKUP($A56,BREED_MIX!$A$2:$AB$61,26,FALSE),"")</f>
        <v/>
      </c>
      <c r="R56" s="9">
        <f>IFERROR(VLOOKUP($A56,BREED_MIX!$A$2:$AB$61,27,FALSE),"")</f>
        <v/>
      </c>
      <c r="S56" s="7">
        <f>IF($A56="","",IF(AND($J56&lt;&gt;"",$K56&lt;&gt;""),2,IF(OR($J56&lt;&gt;"",$K56&lt;&gt;""),1,0)))</f>
        <v/>
      </c>
      <c r="T56" s="5" t="inlineStr">
        <is>
          <t>From CSV roster; Breed: Katahdin; Status in CSV: Alive</t>
        </is>
      </c>
    </row>
    <row r="57">
      <c r="A57" s="5" t="inlineStr">
        <is>
          <t>BANANA</t>
        </is>
      </c>
      <c r="B57" s="5" t="inlineStr">
        <is>
          <t>Banana</t>
        </is>
      </c>
      <c r="C57" s="5" t="inlineStr">
        <is>
          <t>4</t>
        </is>
      </c>
      <c r="D57" s="5" t="inlineStr">
        <is>
          <t>E</t>
        </is>
      </c>
      <c r="E57" s="6" t="n">
        <v>41974</v>
      </c>
      <c r="F57" s="7">
        <f>IF($E57="","",YEAR($E57))</f>
        <v/>
      </c>
      <c r="G57" s="5">
        <f>IF($E57="","",IF(('WEIGHTS_&amp;_RULES'!$B$3-$E57)&lt;365,"Lamb",IF(('WEIGHTS_&amp;_RULES'!$B$3-$E57)&lt;730,"Yearling","Adult")))</f>
        <v/>
      </c>
      <c r="H57" s="5" t="inlineStr">
        <is>
          <t>Other</t>
        </is>
      </c>
      <c r="I57" s="5" t="inlineStr">
        <is>
          <t>Inactive (not on 2026-01-06 living roster)</t>
        </is>
      </c>
      <c r="J57" s="5" t="inlineStr">
        <is>
          <t>SIRLOIN</t>
        </is>
      </c>
      <c r="K57" s="5" t="inlineStr">
        <is>
          <t>ANNA</t>
        </is>
      </c>
      <c r="L57" s="5" t="inlineStr">
        <is>
          <t>CSV</t>
        </is>
      </c>
      <c r="M57" s="6" t="inlineStr"/>
      <c r="N57" s="6" t="inlineStr"/>
      <c r="O57" s="7">
        <f>IFERROR(VLOOKUP($A57,BREED_MIX!$A$2:$AB$61,2,FALSE),"")</f>
        <v/>
      </c>
      <c r="P57" s="27">
        <f>IFERROR(VLOOKUP($A57,BREED_MIX!$A$2:$AB$61,25,FALSE),"")</f>
        <v/>
      </c>
      <c r="Q57" s="27">
        <f>IFERROR(VLOOKUP($A57,BREED_MIX!$A$2:$AB$61,26,FALSE),"")</f>
        <v/>
      </c>
      <c r="R57" s="9">
        <f>IFERROR(VLOOKUP($A57,BREED_MIX!$A$2:$AB$61,27,FALSE),"")</f>
        <v/>
      </c>
      <c r="S57" s="7">
        <f>IF($A57="","",IF(AND($J57&lt;&gt;"",$K57&lt;&gt;""),2,IF(OR($J57&lt;&gt;"",$K57&lt;&gt;""),1,0)))</f>
        <v/>
      </c>
      <c r="T57" s="5" t="inlineStr">
        <is>
          <t>From CSV roster; Breed: 62.5% Katahdin, 37.5% St Augustine; Status in CSV: Alive</t>
        </is>
      </c>
    </row>
    <row r="58">
      <c r="A58" s="5" t="inlineStr">
        <is>
          <t>BROWNKNEE</t>
        </is>
      </c>
      <c r="B58" s="5" t="inlineStr">
        <is>
          <t>Brown Knee</t>
        </is>
      </c>
      <c r="C58" s="5" t="inlineStr">
        <is>
          <t>5</t>
        </is>
      </c>
      <c r="D58" s="5" t="inlineStr">
        <is>
          <t>E</t>
        </is>
      </c>
      <c r="E58" s="6" t="n">
        <v>41974</v>
      </c>
      <c r="F58" s="7">
        <f>IF($E58="","",YEAR($E58))</f>
        <v/>
      </c>
      <c r="G58" s="5">
        <f>IF($E58="","",IF(('WEIGHTS_&amp;_RULES'!$B$3-$E58)&lt;365,"Lamb",IF(('WEIGHTS_&amp;_RULES'!$B$3-$E58)&lt;730,"Yearling","Adult")))</f>
        <v/>
      </c>
      <c r="H58" s="5" t="inlineStr">
        <is>
          <t>Other</t>
        </is>
      </c>
      <c r="I58" s="5" t="inlineStr">
        <is>
          <t>Inactive (not on 2026-01-06 living roster)</t>
        </is>
      </c>
      <c r="J58" s="5" t="inlineStr">
        <is>
          <t>SIRLOIN</t>
        </is>
      </c>
      <c r="K58" s="5" t="inlineStr">
        <is>
          <t>BANANA</t>
        </is>
      </c>
      <c r="L58" s="5" t="inlineStr">
        <is>
          <t>CSV</t>
        </is>
      </c>
      <c r="M58" s="6" t="inlineStr"/>
      <c r="N58" s="6" t="inlineStr"/>
      <c r="O58" s="7">
        <f>IFERROR(VLOOKUP($A58,BREED_MIX!$A$2:$AB$61,2,FALSE),"")</f>
        <v/>
      </c>
      <c r="P58" s="27">
        <f>IFERROR(VLOOKUP($A58,BREED_MIX!$A$2:$AB$61,25,FALSE),"")</f>
        <v/>
      </c>
      <c r="Q58" s="27">
        <f>IFERROR(VLOOKUP($A58,BREED_MIX!$A$2:$AB$61,26,FALSE),"")</f>
        <v/>
      </c>
      <c r="R58" s="9">
        <f>IFERROR(VLOOKUP($A58,BREED_MIX!$A$2:$AB$61,27,FALSE),"")</f>
        <v/>
      </c>
      <c r="S58" s="7">
        <f>IF($A58="","",IF(AND($J58&lt;&gt;"",$K58&lt;&gt;""),2,IF(OR($J58&lt;&gt;"",$K58&lt;&gt;""),1,0)))</f>
        <v/>
      </c>
      <c r="T58" s="5" t="inlineStr">
        <is>
          <t>From CSV roster; Breed: 56% Katahdin 44% St Augustine; Status in CSV: Alive</t>
        </is>
      </c>
    </row>
    <row r="59">
      <c r="A59" s="5" t="inlineStr">
        <is>
          <t>BLACKSPOTONEAR</t>
        </is>
      </c>
      <c r="B59" s="5" t="inlineStr">
        <is>
          <t>Black Spot on Ear</t>
        </is>
      </c>
      <c r="C59" s="5" t="inlineStr">
        <is>
          <t>6</t>
        </is>
      </c>
      <c r="D59" s="5" t="inlineStr">
        <is>
          <t>E</t>
        </is>
      </c>
      <c r="E59" s="6" t="n">
        <v>42333</v>
      </c>
      <c r="F59" s="7">
        <f>IF($E59="","",YEAR($E59))</f>
        <v/>
      </c>
      <c r="G59" s="5">
        <f>IF($E59="","",IF(('WEIGHTS_&amp;_RULES'!$B$3-$E59)&lt;365,"Lamb",IF(('WEIGHTS_&amp;_RULES'!$B$3-$E59)&lt;730,"Yearling","Adult")))</f>
        <v/>
      </c>
      <c r="H59" s="5" t="inlineStr">
        <is>
          <t>Other</t>
        </is>
      </c>
      <c r="I59" s="5" t="inlineStr">
        <is>
          <t>Inactive (not on 2026-01-06 living roster)</t>
        </is>
      </c>
      <c r="J59" s="5" t="inlineStr">
        <is>
          <t>SIRLOIN</t>
        </is>
      </c>
      <c r="K59" s="5" t="inlineStr">
        <is>
          <t>Two Pence</t>
        </is>
      </c>
      <c r="L59" s="5" t="inlineStr">
        <is>
          <t>CSV</t>
        </is>
      </c>
      <c r="M59" s="6" t="inlineStr"/>
      <c r="N59" s="6" t="inlineStr"/>
      <c r="O59" s="7">
        <f>IFERROR(VLOOKUP($A59,BREED_MIX!$A$2:$AB$61,2,FALSE),"")</f>
        <v/>
      </c>
      <c r="P59" s="27">
        <f>IFERROR(VLOOKUP($A59,BREED_MIX!$A$2:$AB$61,25,FALSE),"")</f>
        <v/>
      </c>
      <c r="Q59" s="27">
        <f>IFERROR(VLOOKUP($A59,BREED_MIX!$A$2:$AB$61,26,FALSE),"")</f>
        <v/>
      </c>
      <c r="R59" s="9">
        <f>IFERROR(VLOOKUP($A59,BREED_MIX!$A$2:$AB$61,27,FALSE),"")</f>
        <v/>
      </c>
      <c r="S59" s="7">
        <f>IF($A59="","",IF(AND($J59&lt;&gt;"",$K59&lt;&gt;""),2,IF(OR($J59&lt;&gt;"",$K59&lt;&gt;""),1,0)))</f>
        <v/>
      </c>
      <c r="T59" s="5" t="inlineStr">
        <is>
          <t>From CSV roster; Breed: 65.5% St Augustine 34.5% Katahdin; Status in CSV: Alive</t>
        </is>
      </c>
    </row>
    <row r="60">
      <c r="A60" s="5" t="inlineStr">
        <is>
          <t>BANANASPLIT</t>
        </is>
      </c>
      <c r="B60" s="5" t="inlineStr">
        <is>
          <t>Banana Split</t>
        </is>
      </c>
      <c r="C60" s="5" t="inlineStr">
        <is>
          <t>7</t>
        </is>
      </c>
      <c r="D60" s="5" t="inlineStr">
        <is>
          <t>E</t>
        </is>
      </c>
      <c r="E60" s="6" t="n">
        <v>42322</v>
      </c>
      <c r="F60" s="7">
        <f>IF($E60="","",YEAR($E60))</f>
        <v/>
      </c>
      <c r="G60" s="5">
        <f>IF($E60="","",IF(('WEIGHTS_&amp;_RULES'!$B$3-$E60)&lt;365,"Lamb",IF(('WEIGHTS_&amp;_RULES'!$B$3-$E60)&lt;730,"Yearling","Adult")))</f>
        <v/>
      </c>
      <c r="H60" s="5" t="inlineStr">
        <is>
          <t>Other</t>
        </is>
      </c>
      <c r="I60" s="5" t="inlineStr">
        <is>
          <t>Inactive (not on 2026-01-06 living roster)</t>
        </is>
      </c>
      <c r="J60" s="5" t="inlineStr">
        <is>
          <t>SIRLOIN</t>
        </is>
      </c>
      <c r="K60" s="5" t="inlineStr">
        <is>
          <t>BLACKSPOTONEAR</t>
        </is>
      </c>
      <c r="L60" s="5" t="inlineStr">
        <is>
          <t>CSV</t>
        </is>
      </c>
      <c r="M60" s="6" t="inlineStr"/>
      <c r="N60" s="6" t="inlineStr"/>
      <c r="O60" s="7">
        <f>IFERROR(VLOOKUP($A60,BREED_MIX!$A$2:$AB$61,2,FALSE),"")</f>
        <v/>
      </c>
      <c r="P60" s="27">
        <f>IFERROR(VLOOKUP($A60,BREED_MIX!$A$2:$AB$61,25,FALSE),"")</f>
        <v/>
      </c>
      <c r="Q60" s="27">
        <f>IFERROR(VLOOKUP($A60,BREED_MIX!$A$2:$AB$61,26,FALSE),"")</f>
        <v/>
      </c>
      <c r="R60" s="9">
        <f>IFERROR(VLOOKUP($A60,BREED_MIX!$A$2:$AB$61,27,FALSE),"")</f>
        <v/>
      </c>
      <c r="S60" s="7">
        <f>IF($A60="","",IF(AND($J60&lt;&gt;"",$K60&lt;&gt;""),2,IF(OR($J60&lt;&gt;"",$K60&lt;&gt;""),1,0)))</f>
        <v/>
      </c>
      <c r="T60" s="5" t="inlineStr">
        <is>
          <t>From CSV roster; Breed: 70.25 St Augustine 29.75 Katahdin; Status in CSV: Alive</t>
        </is>
      </c>
    </row>
    <row r="61">
      <c r="A61" s="5" t="inlineStr">
        <is>
          <t>BANANASPLITBABY</t>
        </is>
      </c>
      <c r="B61" s="5" t="inlineStr">
        <is>
          <t>Banana Split Baby</t>
        </is>
      </c>
      <c r="C61" s="5" t="inlineStr">
        <is>
          <t>8</t>
        </is>
      </c>
      <c r="D61" s="5" t="inlineStr">
        <is>
          <t>R</t>
        </is>
      </c>
      <c r="E61" s="6" t="n">
        <v>44615</v>
      </c>
      <c r="F61" s="7">
        <f>IF($E61="","",YEAR($E61))</f>
        <v/>
      </c>
      <c r="G61" s="5">
        <f>IF($E61="","",IF(('WEIGHTS_&amp;_RULES'!$B$3-$E61)&lt;365,"Lamb",IF(('WEIGHTS_&amp;_RULES'!$B$3-$E61)&lt;730,"Yearling","Adult")))</f>
        <v/>
      </c>
      <c r="H61" s="5" t="inlineStr">
        <is>
          <t>Other</t>
        </is>
      </c>
      <c r="I61" s="5" t="inlineStr">
        <is>
          <t>Inactive (not on 2026-01-06 living roster)</t>
        </is>
      </c>
      <c r="J61" s="5" t="inlineStr">
        <is>
          <t>SIRLOIN</t>
        </is>
      </c>
      <c r="K61" s="5" t="inlineStr">
        <is>
          <t>BANANASPLIT</t>
        </is>
      </c>
      <c r="L61" s="5" t="inlineStr">
        <is>
          <t>CSV</t>
        </is>
      </c>
      <c r="M61" s="6" t="inlineStr"/>
      <c r="N61" s="6" t="inlineStr"/>
      <c r="O61" s="7">
        <f>IFERROR(VLOOKUP($A61,BREED_MIX!$A$2:$AB$61,2,FALSE),"")</f>
        <v/>
      </c>
      <c r="P61" s="27">
        <f>IFERROR(VLOOKUP($A61,BREED_MIX!$A$2:$AB$61,25,FALSE),"")</f>
        <v/>
      </c>
      <c r="Q61" s="27">
        <f>IFERROR(VLOOKUP($A61,BREED_MIX!$A$2:$AB$61,26,FALSE),"")</f>
        <v/>
      </c>
      <c r="R61" s="9">
        <f>IFERROR(VLOOKUP($A61,BREED_MIX!$A$2:$AB$61,27,FALSE),"")</f>
        <v/>
      </c>
      <c r="S61" s="7">
        <f>IF($A61="","",IF(AND($J61&lt;&gt;"",$K61&lt;&gt;""),2,IF(OR($J61&lt;&gt;"",$K61&lt;&gt;""),1,0)))</f>
        <v/>
      </c>
      <c r="T61" s="5" t="inlineStr">
        <is>
          <t>From CSV roster; Breed: 72.625 St Augustine 27.375 Katahdin; Status in CSV: Alive</t>
        </is>
      </c>
    </row>
    <row r="62">
      <c r="A62" s="5" t="inlineStr">
        <is>
          <t>ANNASBIGONE</t>
        </is>
      </c>
      <c r="B62" s="5" t="inlineStr">
        <is>
          <t>Anna's Big One</t>
        </is>
      </c>
      <c r="C62" s="5" t="inlineStr">
        <is>
          <t>9</t>
        </is>
      </c>
      <c r="D62" s="5" t="inlineStr">
        <is>
          <t>E</t>
        </is>
      </c>
      <c r="E62" s="6" t="n">
        <v>44520</v>
      </c>
      <c r="F62" s="7">
        <f>IF($E62="","",YEAR($E62))</f>
        <v/>
      </c>
      <c r="G62" s="5">
        <f>IF($E62="","",IF(('WEIGHTS_&amp;_RULES'!$B$3-$E62)&lt;365,"Lamb",IF(('WEIGHTS_&amp;_RULES'!$B$3-$E62)&lt;730,"Yearling","Adult")))</f>
        <v/>
      </c>
      <c r="H62" s="5" t="inlineStr">
        <is>
          <t>Other</t>
        </is>
      </c>
      <c r="I62" s="5" t="inlineStr">
        <is>
          <t>Inactive (not on 2026-01-06 living roster)</t>
        </is>
      </c>
      <c r="J62" s="5" t="inlineStr">
        <is>
          <t>SIRLOIN</t>
        </is>
      </c>
      <c r="K62" s="5" t="inlineStr">
        <is>
          <t>ANNA</t>
        </is>
      </c>
      <c r="L62" s="5" t="inlineStr">
        <is>
          <t>CSV</t>
        </is>
      </c>
      <c r="M62" s="6" t="inlineStr"/>
      <c r="N62" s="6" t="inlineStr"/>
      <c r="O62" s="7">
        <f>IFERROR(VLOOKUP($A62,BREED_MIX!$A$62:$AB$61,2,FALSE),"")</f>
        <v/>
      </c>
      <c r="P62" s="27">
        <f>IFERROR(VLOOKUP($A62,BREED_MIX!$A$62:$AB$61,25,FALSE),"")</f>
        <v/>
      </c>
      <c r="Q62" s="27">
        <f>IFERROR(VLOOKUP($A62,BREED_MIX!$A$62:$AB$61,26,FALSE),"")</f>
        <v/>
      </c>
      <c r="R62" s="9">
        <f>IFERROR(VLOOKUP($A62,BREED_MIX!$A$62:$AB$61,27,FALSE),"")</f>
        <v/>
      </c>
      <c r="S62" s="7">
        <f>IF($A62="","",IF(AND($J62&lt;&gt;"",$K62&lt;&gt;""),2,IF(OR($J62&lt;&gt;"",$K62&lt;&gt;""),1,0)))</f>
        <v/>
      </c>
      <c r="T62" s="5" t="inlineStr">
        <is>
          <t>From CSV roster; Breed: 62.5% Katahdin, 37.5% St Augustine; Status in CSV: Alive</t>
        </is>
      </c>
    </row>
    <row r="63">
      <c r="A63" s="5" t="inlineStr">
        <is>
          <t>BOOTS</t>
        </is>
      </c>
      <c r="B63" s="5" t="inlineStr">
        <is>
          <t>Boots</t>
        </is>
      </c>
      <c r="C63" s="5" t="inlineStr">
        <is>
          <t>10</t>
        </is>
      </c>
      <c r="D63" s="5" t="inlineStr">
        <is>
          <t>E</t>
        </is>
      </c>
      <c r="E63" s="6" t="n">
        <v>44210</v>
      </c>
      <c r="F63" s="7">
        <f>IF($E63="","",YEAR($E63))</f>
        <v/>
      </c>
      <c r="G63" s="5">
        <f>IF($E63="","",IF(('WEIGHTS_&amp;_RULES'!$B$3-$E63)&lt;365,"Lamb",IF(('WEIGHTS_&amp;_RULES'!$B$3-$E63)&lt;730,"Yearling","Adult")))</f>
        <v/>
      </c>
      <c r="H63" s="5" t="inlineStr">
        <is>
          <t>Other</t>
        </is>
      </c>
      <c r="I63" s="5" t="inlineStr">
        <is>
          <t>Inactive (not on 2026-01-06 living roster)</t>
        </is>
      </c>
      <c r="J63" s="5" t="inlineStr">
        <is>
          <t>BOOTSDAD</t>
        </is>
      </c>
      <c r="K63" s="5" t="inlineStr">
        <is>
          <t>BOOTSMOM</t>
        </is>
      </c>
      <c r="L63" s="5" t="inlineStr">
        <is>
          <t>CSV</t>
        </is>
      </c>
      <c r="M63" s="6" t="inlineStr"/>
      <c r="N63" s="6" t="inlineStr"/>
      <c r="O63" s="7">
        <f>IFERROR(VLOOKUP($A63,BREED_MIX!$A$63:$AB$61,2,FALSE),"")</f>
        <v/>
      </c>
      <c r="P63" s="27">
        <f>IFERROR(VLOOKUP($A63,BREED_MIX!$A$63:$AB$61,25,FALSE),"")</f>
        <v/>
      </c>
      <c r="Q63" s="27">
        <f>IFERROR(VLOOKUP($A63,BREED_MIX!$A$63:$AB$61,26,FALSE),"")</f>
        <v/>
      </c>
      <c r="R63" s="9">
        <f>IFERROR(VLOOKUP($A63,BREED_MIX!$A$63:$AB$61,27,FALSE),"")</f>
        <v/>
      </c>
      <c r="S63" s="7">
        <f>IF($A63="","",IF(AND($J63&lt;&gt;"",$K63&lt;&gt;""),2,IF(OR($J63&lt;&gt;"",$K63&lt;&gt;""),1,0)))</f>
        <v/>
      </c>
      <c r="T63" s="5" t="inlineStr">
        <is>
          <t>From CSV roster; Breed: 50% Katahdin 50% Dorper; Status in CSV: Alive</t>
        </is>
      </c>
    </row>
    <row r="64">
      <c r="A64" s="5" t="inlineStr">
        <is>
          <t>STEW</t>
        </is>
      </c>
      <c r="B64" s="5" t="inlineStr">
        <is>
          <t>Stew</t>
        </is>
      </c>
      <c r="C64" s="5" t="inlineStr">
        <is>
          <t>11</t>
        </is>
      </c>
      <c r="D64" s="5" t="inlineStr">
        <is>
          <t>R</t>
        </is>
      </c>
      <c r="E64" s="6" t="n">
        <v>44600</v>
      </c>
      <c r="F64" s="7">
        <f>IF($E64="","",YEAR($E64))</f>
        <v/>
      </c>
      <c r="G64" s="5">
        <f>IF($E64="","",IF(('WEIGHTS_&amp;_RULES'!$B$3-$E64)&lt;365,"Lamb",IF(('WEIGHTS_&amp;_RULES'!$B$3-$E64)&lt;730,"Yearling","Adult")))</f>
        <v/>
      </c>
      <c r="H64" s="5" t="inlineStr">
        <is>
          <t>Other</t>
        </is>
      </c>
      <c r="I64" s="5" t="inlineStr">
        <is>
          <t>Inactive (not on 2026-01-06 living roster)</t>
        </is>
      </c>
      <c r="J64" s="5" t="inlineStr">
        <is>
          <t>FLEECITY</t>
        </is>
      </c>
      <c r="K64" s="5" t="inlineStr">
        <is>
          <t>WELLDONE</t>
        </is>
      </c>
      <c r="L64" s="5" t="inlineStr">
        <is>
          <t>CSV</t>
        </is>
      </c>
      <c r="M64" s="6" t="inlineStr"/>
      <c r="N64" s="6" t="inlineStr"/>
      <c r="O64" s="7">
        <f>IFERROR(VLOOKUP($A64,BREED_MIX!$A$64:$AB$61,2,FALSE),"")</f>
        <v/>
      </c>
      <c r="P64" s="27">
        <f>IFERROR(VLOOKUP($A64,BREED_MIX!$A$64:$AB$61,25,FALSE),"")</f>
        <v/>
      </c>
      <c r="Q64" s="27">
        <f>IFERROR(VLOOKUP($A64,BREED_MIX!$A$64:$AB$61,26,FALSE),"")</f>
        <v/>
      </c>
      <c r="R64" s="9">
        <f>IFERROR(VLOOKUP($A64,BREED_MIX!$A$64:$AB$61,27,FALSE),"")</f>
        <v/>
      </c>
      <c r="S64" s="7">
        <f>IF($A64="","",IF(AND($J64&lt;&gt;"",$K64&lt;&gt;""),2,IF(OR($J64&lt;&gt;"",$K64&lt;&gt;""),1,0)))</f>
        <v/>
      </c>
      <c r="T64" s="5" t="inlineStr">
        <is>
          <t>From CSV roster; Breed: 75% Katahdin 25% Dorper; Status in CSV: Alive</t>
        </is>
      </c>
    </row>
    <row r="65">
      <c r="A65" s="5" t="inlineStr">
        <is>
          <t>FLEECITY</t>
        </is>
      </c>
      <c r="B65" s="5" t="inlineStr">
        <is>
          <t xml:space="preserve">Fleecity </t>
        </is>
      </c>
      <c r="C65" s="5" t="inlineStr">
        <is>
          <t>12</t>
        </is>
      </c>
      <c r="D65" s="5" t="inlineStr">
        <is>
          <t>E</t>
        </is>
      </c>
      <c r="E65" s="6" t="n">
        <v>44210</v>
      </c>
      <c r="F65" s="7">
        <f>IF($E65="","",YEAR($E65))</f>
        <v/>
      </c>
      <c r="G65" s="5">
        <f>IF($E65="","",IF(('WEIGHTS_&amp;_RULES'!$B$3-$E65)&lt;365,"Lamb",IF(('WEIGHTS_&amp;_RULES'!$B$3-$E65)&lt;730,"Yearling","Adult")))</f>
        <v/>
      </c>
      <c r="H65" s="5" t="inlineStr">
        <is>
          <t>Other</t>
        </is>
      </c>
      <c r="I65" s="5" t="inlineStr">
        <is>
          <t>Inactive (not on 2026-01-06 living roster)</t>
        </is>
      </c>
      <c r="J65" s="5" t="inlineStr">
        <is>
          <t>BOOTSDAD</t>
        </is>
      </c>
      <c r="K65" s="5" t="inlineStr">
        <is>
          <t>BOOTSMOM</t>
        </is>
      </c>
      <c r="L65" s="5" t="inlineStr">
        <is>
          <t>CSV</t>
        </is>
      </c>
      <c r="M65" s="6" t="inlineStr"/>
      <c r="N65" s="6" t="inlineStr"/>
      <c r="O65" s="7">
        <f>IFERROR(VLOOKUP($A65,BREED_MIX!$A$65:$AB$61,2,FALSE),"")</f>
        <v/>
      </c>
      <c r="P65" s="27">
        <f>IFERROR(VLOOKUP($A65,BREED_MIX!$A$65:$AB$61,25,FALSE),"")</f>
        <v/>
      </c>
      <c r="Q65" s="27">
        <f>IFERROR(VLOOKUP($A65,BREED_MIX!$A$65:$AB$61,26,FALSE),"")</f>
        <v/>
      </c>
      <c r="R65" s="9">
        <f>IFERROR(VLOOKUP($A65,BREED_MIX!$A$65:$AB$61,27,FALSE),"")</f>
        <v/>
      </c>
      <c r="S65" s="7">
        <f>IF($A65="","",IF(AND($J65&lt;&gt;"",$K65&lt;&gt;""),2,IF(OR($J65&lt;&gt;"",$K65&lt;&gt;""),1,0)))</f>
        <v/>
      </c>
      <c r="T65" s="5" t="inlineStr">
        <is>
          <t>From CSV roster; Breed: 50% Katahdin 50% Dorper; Status in CSV: Alive</t>
        </is>
      </c>
    </row>
    <row r="66">
      <c r="A66" s="5" t="inlineStr">
        <is>
          <t>SHAGGY</t>
        </is>
      </c>
      <c r="B66" s="5" t="inlineStr">
        <is>
          <t>Shaggy</t>
        </is>
      </c>
      <c r="C66" s="5" t="inlineStr">
        <is>
          <t>13</t>
        </is>
      </c>
      <c r="D66" s="5" t="inlineStr">
        <is>
          <t>E</t>
        </is>
      </c>
      <c r="E66" s="6" t="n">
        <v>44242</v>
      </c>
      <c r="F66" s="7">
        <f>IF($E66="","",YEAR($E66))</f>
        <v/>
      </c>
      <c r="G66" s="5">
        <f>IF($E66="","",IF(('WEIGHTS_&amp;_RULES'!$B$3-$E66)&lt;365,"Lamb",IF(('WEIGHTS_&amp;_RULES'!$B$3-$E66)&lt;730,"Yearling","Adult")))</f>
        <v/>
      </c>
      <c r="H66" s="5" t="inlineStr">
        <is>
          <t>Other</t>
        </is>
      </c>
      <c r="I66" s="5" t="inlineStr">
        <is>
          <t>Inactive (not on 2026-01-06 living roster)</t>
        </is>
      </c>
      <c r="J66" s="5" t="inlineStr">
        <is>
          <t>SHAGGYSDAD</t>
        </is>
      </c>
      <c r="K66" s="5" t="inlineStr">
        <is>
          <t>SHAGGYSMOM</t>
        </is>
      </c>
      <c r="L66" s="5" t="inlineStr">
        <is>
          <t>CSV</t>
        </is>
      </c>
      <c r="M66" s="6" t="inlineStr"/>
      <c r="N66" s="6" t="inlineStr"/>
      <c r="O66" s="7">
        <f>IFERROR(VLOOKUP($A66,BREED_MIX!$A$66:$AB$61,2,FALSE),"")</f>
        <v/>
      </c>
      <c r="P66" s="27">
        <f>IFERROR(VLOOKUP($A66,BREED_MIX!$A$66:$AB$61,25,FALSE),"")</f>
        <v/>
      </c>
      <c r="Q66" s="27">
        <f>IFERROR(VLOOKUP($A66,BREED_MIX!$A$66:$AB$61,26,FALSE),"")</f>
        <v/>
      </c>
      <c r="R66" s="9">
        <f>IFERROR(VLOOKUP($A66,BREED_MIX!$A$66:$AB$61,27,FALSE),"")</f>
        <v/>
      </c>
      <c r="S66" s="7">
        <f>IF($A66="","",IF(AND($J66&lt;&gt;"",$K66&lt;&gt;""),2,IF(OR($J66&lt;&gt;"",$K66&lt;&gt;""),1,0)))</f>
        <v/>
      </c>
      <c r="T66" s="5" t="inlineStr">
        <is>
          <t>From CSV roster; Breed: 50% Babydoll 50% Jacob; Status in CSV: Alive</t>
        </is>
      </c>
    </row>
    <row r="67">
      <c r="A67" s="5" t="inlineStr">
        <is>
          <t>FM</t>
        </is>
      </c>
      <c r="B67" s="5" t="inlineStr">
        <is>
          <t>FM</t>
        </is>
      </c>
      <c r="C67" s="5" t="inlineStr">
        <is>
          <t>Ga1568</t>
        </is>
      </c>
      <c r="D67" s="5" t="inlineStr">
        <is>
          <t>E</t>
        </is>
      </c>
      <c r="E67" s="6" t="inlineStr">
        <is>
          <t>2-14-21</t>
        </is>
      </c>
      <c r="F67" s="7">
        <f>IF($E67="","",YEAR($E67))</f>
        <v/>
      </c>
      <c r="G67" s="5">
        <f>IF($E67="","",IF(('WEIGHTS_&amp;_RULES'!$B$3-$E67)&lt;365,"Lamb",IF(('WEIGHTS_&amp;_RULES'!$B$3-$E67)&lt;730,"Yearling","Adult")))</f>
        <v/>
      </c>
      <c r="H67" s="5" t="inlineStr">
        <is>
          <t>Other</t>
        </is>
      </c>
      <c r="I67" s="5" t="inlineStr">
        <is>
          <t>Inactive (not on 2026-01-06 living roster)</t>
        </is>
      </c>
      <c r="J67" s="5" t="inlineStr">
        <is>
          <t>Tunis</t>
        </is>
      </c>
      <c r="K67" s="5" t="inlineStr">
        <is>
          <t>Cotswald</t>
        </is>
      </c>
      <c r="L67" s="5" t="inlineStr">
        <is>
          <t>CSV</t>
        </is>
      </c>
      <c r="M67" s="6" t="inlineStr"/>
      <c r="N67" s="6" t="inlineStr"/>
      <c r="O67" s="7">
        <f>IFERROR(VLOOKUP($A67,BREED_MIX!$A$67:$AB$61,2,FALSE),"")</f>
        <v/>
      </c>
      <c r="P67" s="27">
        <f>IFERROR(VLOOKUP($A67,BREED_MIX!$A$67:$AB$61,25,FALSE),"")</f>
        <v/>
      </c>
      <c r="Q67" s="27">
        <f>IFERROR(VLOOKUP($A67,BREED_MIX!$A$67:$AB$61,26,FALSE),"")</f>
        <v/>
      </c>
      <c r="R67" s="9">
        <f>IFERROR(VLOOKUP($A67,BREED_MIX!$A$67:$AB$61,27,FALSE),"")</f>
        <v/>
      </c>
      <c r="S67" s="7">
        <f>IF($A67="","",IF(AND($J67&lt;&gt;"",$K67&lt;&gt;""),2,IF(OR($J67&lt;&gt;"",$K67&lt;&gt;""),1,0)))</f>
        <v/>
      </c>
      <c r="T67" s="5" t="inlineStr">
        <is>
          <t>From CSV roster; Breed: 50% Cotswald 50% Tunis; Status in CSV: Alive</t>
        </is>
      </c>
    </row>
    <row r="68">
      <c r="A68" s="5" t="inlineStr">
        <is>
          <t>HALFTAIL</t>
        </is>
      </c>
      <c r="B68" s="5" t="inlineStr">
        <is>
          <t>Half Tail</t>
        </is>
      </c>
      <c r="C68" s="5" t="inlineStr">
        <is>
          <t>15</t>
        </is>
      </c>
      <c r="D68" s="5" t="inlineStr">
        <is>
          <t>E</t>
        </is>
      </c>
      <c r="E68" s="6" t="n">
        <v>42370</v>
      </c>
      <c r="F68" s="7">
        <f>IF($E68="","",YEAR($E68))</f>
        <v/>
      </c>
      <c r="G68" s="5">
        <f>IF($E68="","",IF(('WEIGHTS_&amp;_RULES'!$B$3-$E68)&lt;365,"Lamb",IF(('WEIGHTS_&amp;_RULES'!$B$3-$E68)&lt;730,"Yearling","Adult")))</f>
        <v/>
      </c>
      <c r="H68" s="5" t="inlineStr">
        <is>
          <t>Other</t>
        </is>
      </c>
      <c r="I68" s="5" t="inlineStr">
        <is>
          <t>Inactive (not on 2026-01-06 living roster)</t>
        </is>
      </c>
      <c r="J68" s="5" t="inlineStr">
        <is>
          <t>SIRLOIN</t>
        </is>
      </c>
      <c r="K68" s="5" t="inlineStr">
        <is>
          <t>HERSHEYS</t>
        </is>
      </c>
      <c r="L68" s="5" t="inlineStr">
        <is>
          <t>CSV</t>
        </is>
      </c>
      <c r="M68" s="6" t="inlineStr"/>
      <c r="N68" s="6" t="inlineStr"/>
      <c r="O68" s="7">
        <f>IFERROR(VLOOKUP($A68,BREED_MIX!$A$68:$AB$61,2,FALSE),"")</f>
        <v/>
      </c>
      <c r="P68" s="27">
        <f>IFERROR(VLOOKUP($A68,BREED_MIX!$A$68:$AB$61,25,FALSE),"")</f>
        <v/>
      </c>
      <c r="Q68" s="27">
        <f>IFERROR(VLOOKUP($A68,BREED_MIX!$A$68:$AB$61,26,FALSE),"")</f>
        <v/>
      </c>
      <c r="R68" s="9">
        <f>IFERROR(VLOOKUP($A68,BREED_MIX!$A$68:$AB$61,27,FALSE),"")</f>
        <v/>
      </c>
      <c r="S68" s="7">
        <f>IF($A68="","",IF(AND($J68&lt;&gt;"",$K68&lt;&gt;""),2,IF(OR($J68&lt;&gt;"",$K68&lt;&gt;""),1,0)))</f>
        <v/>
      </c>
      <c r="T68" s="5" t="inlineStr">
        <is>
          <t>From CSV roster; Breed: 44% Katahdin 56% St Augustine; Status in CSV: Alive</t>
        </is>
      </c>
    </row>
    <row r="69">
      <c r="A69" s="5" t="inlineStr">
        <is>
          <t>HERSHEYS</t>
        </is>
      </c>
      <c r="B69" s="5" t="inlineStr">
        <is>
          <t>Hersheys</t>
        </is>
      </c>
      <c r="C69" s="5" t="inlineStr">
        <is>
          <t>17</t>
        </is>
      </c>
      <c r="D69" s="5" t="inlineStr">
        <is>
          <t>E</t>
        </is>
      </c>
      <c r="E69" s="6" t="n"/>
      <c r="F69" s="7">
        <f>IF($E69="","",YEAR($E69))</f>
        <v/>
      </c>
      <c r="G69" s="5">
        <f>IF($E69="","",IF(('WEIGHTS_&amp;_RULES'!$B$3-$E69)&lt;365,"Lamb",IF(('WEIGHTS_&amp;_RULES'!$B$3-$E69)&lt;730,"Yearling","Adult")))</f>
        <v/>
      </c>
      <c r="H69" s="5" t="inlineStr">
        <is>
          <t>Other</t>
        </is>
      </c>
      <c r="I69" s="5" t="inlineStr">
        <is>
          <t>Inactive (not on 2026-01-06 living roster)</t>
        </is>
      </c>
      <c r="J69" s="5" t="inlineStr"/>
      <c r="K69" s="5" t="inlineStr"/>
      <c r="L69" s="5" t="inlineStr">
        <is>
          <t>CSV</t>
        </is>
      </c>
      <c r="M69" s="6" t="inlineStr"/>
      <c r="N69" s="6" t="inlineStr"/>
      <c r="O69" s="7">
        <f>IFERROR(VLOOKUP($A69,BREED_MIX!$A$69:$AB$61,2,FALSE),"")</f>
        <v/>
      </c>
      <c r="P69" s="27">
        <f>IFERROR(VLOOKUP($A69,BREED_MIX!$A$69:$AB$61,25,FALSE),"")</f>
        <v/>
      </c>
      <c r="Q69" s="27">
        <f>IFERROR(VLOOKUP($A69,BREED_MIX!$A$69:$AB$61,26,FALSE),"")</f>
        <v/>
      </c>
      <c r="R69" s="9">
        <f>IFERROR(VLOOKUP($A69,BREED_MIX!$A$69:$AB$61,27,FALSE),"")</f>
        <v/>
      </c>
      <c r="S69" s="7">
        <f>IF($A69="","",IF(AND($J69&lt;&gt;"",$K69&lt;&gt;""),2,IF(OR($J69&lt;&gt;"",$K69&lt;&gt;""),1,0)))</f>
        <v/>
      </c>
      <c r="T69" s="5" t="inlineStr">
        <is>
          <t>From CSV roster; Breed: nan; Status in CSV: Deceased</t>
        </is>
      </c>
    </row>
    <row r="70">
      <c r="A70" s="5" t="inlineStr">
        <is>
          <t>OAV_2223</t>
        </is>
      </c>
      <c r="B70" s="5" t="inlineStr">
        <is>
          <t>Oav 2223 (Kelsier)</t>
        </is>
      </c>
      <c r="C70" s="5" t="inlineStr">
        <is>
          <t>2223</t>
        </is>
      </c>
      <c r="D70" s="5" t="inlineStr">
        <is>
          <t>R</t>
        </is>
      </c>
      <c r="E70" s="6" t="n">
        <v>44916</v>
      </c>
      <c r="F70" s="7">
        <f>IF($E70="","",YEAR($E70))</f>
        <v/>
      </c>
      <c r="G70" s="5">
        <f>IF($E70="","",IF(('WEIGHTS_&amp;_RULES'!$B$3-$E70)&lt;365,"Lamb",IF(('WEIGHTS_&amp;_RULES'!$B$3-$E70)&lt;730,"Yearling","Adult")))</f>
        <v/>
      </c>
      <c r="H70" s="5" t="inlineStr">
        <is>
          <t>Other</t>
        </is>
      </c>
      <c r="I70" s="5" t="inlineStr">
        <is>
          <t>Inactive (not on 2026-01-06 living roster)</t>
        </is>
      </c>
      <c r="J70" s="5" t="inlineStr"/>
      <c r="K70" s="5" t="inlineStr"/>
      <c r="L70" s="5" t="inlineStr">
        <is>
          <t>OAV Sam Mushko</t>
        </is>
      </c>
      <c r="M70" s="6" t="n">
        <v>45204</v>
      </c>
      <c r="N70" s="6" t="n"/>
      <c r="O70" s="7">
        <f>IFERROR(VLOOKUP($A70,BREED_MIX!$A$70:$AB$61,2,FALSE),"")</f>
        <v/>
      </c>
      <c r="P70" s="27">
        <f>IFERROR(VLOOKUP($A70,BREED_MIX!$A$70:$AB$61,25,FALSE),"")</f>
        <v/>
      </c>
      <c r="Q70" s="27">
        <f>IFERROR(VLOOKUP($A70,BREED_MIX!$A$70:$AB$61,26,FALSE),"")</f>
        <v/>
      </c>
      <c r="R70" s="9">
        <f>IFERROR(VLOOKUP($A70,BREED_MIX!$A$70:$AB$61,27,FALSE),"")</f>
        <v/>
      </c>
      <c r="S70" s="7">
        <f>IF($A70="","",IF(AND($J70&lt;&gt;"",$K70&lt;&gt;""),2,IF(OR($J70&lt;&gt;"",$K70&lt;&gt;""),1,0)))</f>
        <v/>
      </c>
      <c r="T70" s="5" t="inlineStr">
        <is>
          <t>User provided UF ram test data + NSIP ID 640301-2022-222223; not listed on 2026-01-06 living roster—verify</t>
        </is>
      </c>
    </row>
    <row r="71">
      <c r="A71" t="inlineStr">
        <is>
          <t>TAG_02241</t>
        </is>
      </c>
      <c r="B71" t="inlineStr">
        <is>
          <t>2241</t>
        </is>
      </c>
      <c r="C71" t="inlineStr">
        <is>
          <t>2241</t>
        </is>
      </c>
      <c r="I71" t="inlineStr">
        <is>
          <t>Inactive (not on 2026-01-06 living roster)</t>
        </is>
      </c>
      <c r="T71" t="inlineStr">
        <is>
          <t>Imported from Manatee Creek - 2241 (e).csv on 2026-01-06</t>
        </is>
      </c>
    </row>
    <row r="72">
      <c r="A72" t="inlineStr">
        <is>
          <t>KAT_X_AWASSI</t>
        </is>
      </c>
      <c r="B72" t="inlineStr">
        <is>
          <t>Kat x awassi</t>
        </is>
      </c>
      <c r="I72" t="inlineStr">
        <is>
          <t>Inactive (not on 2026-01-06 living roster)</t>
        </is>
      </c>
      <c r="T72" t="inlineStr">
        <is>
          <t>Imported from Manatee Creek - Buck (Kat x Awassi).csv on 2026-01-06</t>
        </is>
      </c>
    </row>
    <row r="73">
      <c r="A73" t="inlineStr">
        <is>
          <t>OAV_2223_2</t>
        </is>
      </c>
      <c r="B73" t="inlineStr">
        <is>
          <t>Oav 2223</t>
        </is>
      </c>
      <c r="D73" t="inlineStr">
        <is>
          <t>R</t>
        </is>
      </c>
      <c r="E73" t="inlineStr">
        <is>
          <t>12-21-22</t>
        </is>
      </c>
      <c r="I73" t="inlineStr">
        <is>
          <t>Inactive (not on 2026-01-06 living roster)</t>
        </is>
      </c>
      <c r="T73" t="inlineStr">
        <is>
          <t>Imported from Manatee Creek - OAV 2223 (r) (Kelsier).csv on 2026-01-06</t>
        </is>
      </c>
    </row>
    <row r="74">
      <c r="A74" t="inlineStr">
        <is>
          <t>FL51870_0502_PEN_1_2</t>
        </is>
      </c>
      <c r="B74" t="inlineStr">
        <is>
          <t>Fl51870 - 0502 (Pen 1-2)</t>
        </is>
      </c>
      <c r="D74" t="inlineStr">
        <is>
          <t>0</t>
        </is>
      </c>
      <c r="I74" t="inlineStr">
        <is>
          <t>Inactive (not on 2026-01-06 living roster)</t>
        </is>
      </c>
      <c r="T74" t="inlineStr">
        <is>
          <t>Imported from Manatee Creek - GG (Gentle Giant).csv on 2026-01-06</t>
        </is>
      </c>
    </row>
    <row r="75">
      <c r="A75" t="inlineStr">
        <is>
          <t>OAV_2222_2</t>
        </is>
      </c>
      <c r="B75" t="inlineStr">
        <is>
          <t>OAV 2222</t>
        </is>
      </c>
      <c r="I75" t="inlineStr">
        <is>
          <t>Inactive (not on 2026-01-06 living roster)</t>
        </is>
      </c>
      <c r="T75" t="inlineStr">
        <is>
          <t>Imported from Manatee Creek - OAV 2222(e).csv on 2026-01-06</t>
        </is>
      </c>
    </row>
    <row r="76">
      <c r="A76" t="inlineStr">
        <is>
          <t>ANIMAL</t>
        </is>
      </c>
      <c r="E76" t="inlineStr">
        <is>
          <t>3-23-23</t>
        </is>
      </c>
      <c r="I76" t="inlineStr">
        <is>
          <t>Inactive (not on 2026-01-06 living roster)</t>
        </is>
      </c>
      <c r="J76" t="inlineStr">
        <is>
          <t>Dodge</t>
        </is>
      </c>
      <c r="K76" t="inlineStr">
        <is>
          <t>Daisy</t>
        </is>
      </c>
      <c r="T76" t="inlineStr">
        <is>
          <t>Imported from Manatee Creek - Little Daisy(e).csv on 2026-01-06</t>
        </is>
      </c>
    </row>
    <row r="77">
      <c r="A77" t="inlineStr">
        <is>
          <t>BLACK_SPOT_ON_EAR_DAUGHTER</t>
        </is>
      </c>
      <c r="B77" t="inlineStr">
        <is>
          <t>Black Spot on Ear Daughter</t>
        </is>
      </c>
      <c r="D77" t="inlineStr">
        <is>
          <t>E</t>
        </is>
      </c>
      <c r="J77" t="inlineStr">
        <is>
          <t>SIRLOIN</t>
        </is>
      </c>
      <c r="K77" t="inlineStr">
        <is>
          <t>BLACKSPOTONEAR</t>
        </is>
      </c>
      <c r="T77" t="inlineStr">
        <is>
          <t>Imported from Manatee Creek - Black Spot on Ear Daughter (e).csv on 2026-01-07</t>
        </is>
      </c>
    </row>
    <row r="78">
      <c r="A78" t="inlineStr">
        <is>
          <t>CHIPOITLE_SPICY_BOI_BT1</t>
        </is>
      </c>
      <c r="B78" t="inlineStr">
        <is>
          <t>Chipoitle Spicy Boi (Bt1)</t>
        </is>
      </c>
      <c r="D78" t="inlineStr">
        <is>
          <t>R</t>
        </is>
      </c>
      <c r="E78" t="inlineStr">
        <is>
          <t>2-7-22</t>
        </is>
      </c>
      <c r="J78" t="inlineStr">
        <is>
          <t>SIRLOIN</t>
        </is>
      </c>
      <c r="K78" t="inlineStr">
        <is>
          <t>BROKEN_TAIL</t>
        </is>
      </c>
      <c r="T78" t="inlineStr">
        <is>
          <t>Imported from Manatee Creek - Chipolte Spicy Boi BT1 (R).csv on 2026-01-07</t>
        </is>
      </c>
    </row>
    <row r="79">
      <c r="A79" t="inlineStr">
        <is>
          <t>PRETZAL</t>
        </is>
      </c>
      <c r="B79" t="inlineStr">
        <is>
          <t>Pretzal</t>
        </is>
      </c>
      <c r="D79" t="inlineStr">
        <is>
          <t>E</t>
        </is>
      </c>
      <c r="E79" t="inlineStr">
        <is>
          <t>1-24-22</t>
        </is>
      </c>
      <c r="J79" t="inlineStr">
        <is>
          <t>?</t>
        </is>
      </c>
      <c r="K79" t="inlineStr">
        <is>
          <t>?</t>
        </is>
      </c>
      <c r="T79" t="inlineStr">
        <is>
          <t>Imported from Manatee Creek - Pretzal (E).csv on 2026-01-07</t>
        </is>
      </c>
    </row>
    <row r="80">
      <c r="A80" t="inlineStr">
        <is>
          <t>THIRD_EWE</t>
        </is>
      </c>
      <c r="B80" t="inlineStr">
        <is>
          <t>Third Ewe</t>
        </is>
      </c>
      <c r="D80" t="inlineStr">
        <is>
          <t>E</t>
        </is>
      </c>
      <c r="J80" t="inlineStr">
        <is>
          <t>SIRLOIN</t>
        </is>
      </c>
      <c r="K80" t="inlineStr">
        <is>
          <t>Other Ewe</t>
        </is>
      </c>
      <c r="T80" t="inlineStr">
        <is>
          <t>Imported from Manatee Creek - Third Ewe (E).csv on 2026-01-07</t>
        </is>
      </c>
    </row>
    <row r="81">
      <c r="A81" t="inlineStr">
        <is>
          <t>FM1</t>
        </is>
      </c>
      <c r="B81" t="inlineStr">
        <is>
          <t>FM1</t>
        </is>
      </c>
      <c r="J81" t="inlineStr">
        <is>
          <t>SIRLOIN</t>
        </is>
      </c>
      <c r="K81" t="inlineStr">
        <is>
          <t>FM</t>
        </is>
      </c>
      <c r="T81" t="inlineStr">
        <is>
          <t>Imported from Manatee Creek - FM1.csv on 2026-01-07</t>
        </is>
      </c>
    </row>
    <row r="82">
      <c r="A82" t="inlineStr">
        <is>
          <t>ANIMAL_2</t>
        </is>
      </c>
      <c r="E82" t="inlineStr">
        <is>
          <t>3-23-23</t>
        </is>
      </c>
      <c r="J82" t="inlineStr">
        <is>
          <t>Dodge</t>
        </is>
      </c>
      <c r="K82" t="inlineStr">
        <is>
          <t>Daisy</t>
        </is>
      </c>
      <c r="T82" t="inlineStr">
        <is>
          <t>Imported from Manatee Creek - Little Daisy(e).csv on 2026-01-07</t>
        </is>
      </c>
    </row>
  </sheetData>
  <conditionalFormatting sqref="A2:A61">
    <cfRule type="expression" priority="1" dxfId="0">
      <formula>=AND($A2="",$B2&lt;&gt;"")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6" customWidth="1" min="4" max="4"/>
    <col width="38" customWidth="1" min="5" max="5"/>
  </cols>
  <sheetData>
    <row r="1" ht="22" customHeight="1">
      <c r="A1" s="10" t="inlineStr">
        <is>
          <t>Breed (superset)</t>
        </is>
      </c>
      <c r="B1" s="10" t="inlineStr">
        <is>
          <t>Avg mature wt (EWE, lb)</t>
        </is>
      </c>
      <c r="C1" s="10" t="inlineStr">
        <is>
          <t>Avg mature wt (RAM, lb)</t>
        </is>
      </c>
      <c r="D1" s="10" t="inlineStr">
        <is>
          <t>Hair breed? (Y/N)</t>
        </is>
      </c>
      <c r="E1" s="10" t="inlineStr">
        <is>
          <t>Notes</t>
        </is>
      </c>
    </row>
    <row r="2">
      <c r="A2" s="9" t="inlineStr">
        <is>
          <t>American Black Belly</t>
        </is>
      </c>
      <c r="B2" s="5" t="n">
        <v>115</v>
      </c>
      <c r="C2" s="5" t="n">
        <v>135</v>
      </c>
      <c r="D2" s="5" t="inlineStr">
        <is>
          <t>Y</t>
        </is>
      </c>
      <c r="E2" s="5" t="inlineStr"/>
    </row>
    <row r="3">
      <c r="A3" s="9" t="inlineStr">
        <is>
          <t>Awassi</t>
        </is>
      </c>
      <c r="B3" s="5" t="n">
        <v>200</v>
      </c>
      <c r="C3" s="5" t="n">
        <v>310</v>
      </c>
      <c r="D3" s="5" t="inlineStr">
        <is>
          <t>N</t>
        </is>
      </c>
      <c r="E3" s="5" t="inlineStr"/>
    </row>
    <row r="4">
      <c r="A4" s="9" t="inlineStr">
        <is>
          <t>Babydoll</t>
        </is>
      </c>
      <c r="B4" s="5" t="n">
        <v>80</v>
      </c>
      <c r="C4" s="5" t="n">
        <v>125</v>
      </c>
      <c r="D4" s="5" t="inlineStr">
        <is>
          <t>N</t>
        </is>
      </c>
      <c r="E4" s="5" t="inlineStr"/>
    </row>
    <row r="5">
      <c r="A5" s="9" t="inlineStr">
        <is>
          <t>Barbados Black Belly</t>
        </is>
      </c>
      <c r="B5" s="5" t="n">
        <v>95</v>
      </c>
      <c r="C5" s="5" t="n">
        <v>125</v>
      </c>
      <c r="D5" s="5" t="inlineStr">
        <is>
          <t>Y</t>
        </is>
      </c>
      <c r="E5" s="5" t="inlineStr"/>
    </row>
    <row r="6">
      <c r="A6" s="9" t="inlineStr">
        <is>
          <t>Black Headed Dorper</t>
        </is>
      </c>
      <c r="B6" s="5" t="n">
        <v>200</v>
      </c>
      <c r="C6" s="5" t="n">
        <v>300</v>
      </c>
      <c r="D6" s="5" t="inlineStr">
        <is>
          <t>Y</t>
        </is>
      </c>
      <c r="E6" s="5" t="inlineStr"/>
    </row>
    <row r="7">
      <c r="A7" s="9" t="inlineStr">
        <is>
          <t>Cotswald</t>
        </is>
      </c>
      <c r="B7" s="5" t="n">
        <v>200</v>
      </c>
      <c r="C7" s="5" t="n">
        <v>300</v>
      </c>
      <c r="D7" s="5" t="inlineStr">
        <is>
          <t>N</t>
        </is>
      </c>
      <c r="E7" s="5" t="inlineStr"/>
    </row>
    <row r="8">
      <c r="A8" s="9" t="inlineStr">
        <is>
          <t>Cracker</t>
        </is>
      </c>
      <c r="B8" s="5" t="n">
        <v>110</v>
      </c>
      <c r="C8" s="5" t="n">
        <v>225</v>
      </c>
      <c r="D8" s="5" t="inlineStr">
        <is>
          <t>N</t>
        </is>
      </c>
      <c r="E8" s="5" t="inlineStr"/>
    </row>
    <row r="9">
      <c r="A9" s="9" t="inlineStr">
        <is>
          <t>East Friesan</t>
        </is>
      </c>
      <c r="B9" s="5" t="n">
        <v>210</v>
      </c>
      <c r="C9" s="5" t="n">
        <v>275</v>
      </c>
      <c r="D9" s="5" t="inlineStr">
        <is>
          <t>N</t>
        </is>
      </c>
      <c r="E9" s="5" t="inlineStr"/>
    </row>
    <row r="10">
      <c r="A10" s="9" t="inlineStr">
        <is>
          <t>Gulf Coast Native</t>
        </is>
      </c>
      <c r="B10" s="5" t="n">
        <v>125</v>
      </c>
      <c r="C10" s="5" t="n">
        <v>165</v>
      </c>
      <c r="D10" s="5" t="inlineStr">
        <is>
          <t>N</t>
        </is>
      </c>
      <c r="E10" s="5" t="inlineStr"/>
    </row>
    <row r="11">
      <c r="A11" s="9" t="inlineStr">
        <is>
          <t>Hampshire</t>
        </is>
      </c>
      <c r="B11" s="5" t="n">
        <v>200</v>
      </c>
      <c r="C11" s="5" t="n">
        <v>275</v>
      </c>
      <c r="D11" s="5" t="inlineStr">
        <is>
          <t>N</t>
        </is>
      </c>
      <c r="E11" s="5" t="inlineStr"/>
    </row>
    <row r="12">
      <c r="A12" s="9" t="inlineStr">
        <is>
          <t>Jacob</t>
        </is>
      </c>
      <c r="B12" s="5" t="n">
        <v>100</v>
      </c>
      <c r="C12" s="5" t="n">
        <v>150</v>
      </c>
      <c r="D12" s="5" t="inlineStr">
        <is>
          <t>N</t>
        </is>
      </c>
      <c r="E12" s="5" t="inlineStr"/>
    </row>
    <row r="13">
      <c r="A13" s="9" t="inlineStr">
        <is>
          <t>Karakul</t>
        </is>
      </c>
      <c r="B13" s="5" t="inlineStr"/>
      <c r="C13" s="5" t="inlineStr"/>
      <c r="D13" s="5" t="inlineStr"/>
      <c r="E13" s="5" t="inlineStr"/>
    </row>
    <row r="14">
      <c r="A14" s="9" t="inlineStr">
        <is>
          <t>Katahdin</t>
        </is>
      </c>
      <c r="B14" s="5" t="n">
        <v>140</v>
      </c>
      <c r="C14" s="5" t="n">
        <v>235</v>
      </c>
      <c r="D14" s="5" t="inlineStr">
        <is>
          <t>Y</t>
        </is>
      </c>
      <c r="E14" s="5" t="inlineStr"/>
    </row>
    <row r="15">
      <c r="A15" s="9" t="inlineStr">
        <is>
          <t>Southdown</t>
        </is>
      </c>
      <c r="B15" s="5" t="n">
        <v>200</v>
      </c>
      <c r="C15" s="5" t="n">
        <v>350</v>
      </c>
      <c r="D15" s="5" t="inlineStr">
        <is>
          <t>N</t>
        </is>
      </c>
      <c r="E15" s="5" t="inlineStr"/>
    </row>
    <row r="16">
      <c r="A16" s="9" t="inlineStr">
        <is>
          <t>St Augustine</t>
        </is>
      </c>
      <c r="B16" s="5" t="n">
        <v>200</v>
      </c>
      <c r="C16" s="5" t="n">
        <v>300</v>
      </c>
      <c r="D16" s="5" t="inlineStr">
        <is>
          <t>Y</t>
        </is>
      </c>
      <c r="E16" s="5" t="inlineStr"/>
    </row>
    <row r="17">
      <c r="A17" s="9" t="inlineStr">
        <is>
          <t>St Croix</t>
        </is>
      </c>
      <c r="B17" s="5" t="n">
        <v>150</v>
      </c>
      <c r="C17" s="5" t="n">
        <v>200</v>
      </c>
      <c r="D17" s="5" t="inlineStr">
        <is>
          <t>Y</t>
        </is>
      </c>
      <c r="E17" s="5" t="inlineStr"/>
    </row>
    <row r="18">
      <c r="A18" s="9" t="inlineStr">
        <is>
          <t>Suffolk</t>
        </is>
      </c>
      <c r="B18" s="5" t="n">
        <v>253</v>
      </c>
      <c r="C18" s="5" t="n">
        <v>330</v>
      </c>
      <c r="D18" s="5" t="inlineStr">
        <is>
          <t>N</t>
        </is>
      </c>
      <c r="E18" s="5" t="inlineStr"/>
    </row>
    <row r="19">
      <c r="A19" s="9" t="inlineStr">
        <is>
          <t>Texel</t>
        </is>
      </c>
      <c r="B19" s="5" t="n">
        <v>185</v>
      </c>
      <c r="C19" s="5" t="n">
        <v>240</v>
      </c>
      <c r="D19" s="5" t="inlineStr">
        <is>
          <t>N</t>
        </is>
      </c>
      <c r="E19" s="5" t="inlineStr"/>
    </row>
    <row r="20">
      <c r="A20" s="9" t="inlineStr">
        <is>
          <t>Tunis</t>
        </is>
      </c>
      <c r="B20" s="5" t="n">
        <v>160</v>
      </c>
      <c r="C20" s="5" t="n">
        <v>275</v>
      </c>
      <c r="D20" s="5" t="inlineStr">
        <is>
          <t>N</t>
        </is>
      </c>
      <c r="E20" s="5" t="inlineStr"/>
    </row>
    <row r="21">
      <c r="A21" s="9" t="inlineStr">
        <is>
          <t>White Dorper</t>
        </is>
      </c>
      <c r="B21" s="5" t="n">
        <v>185</v>
      </c>
      <c r="C21" s="5" t="n">
        <v>235</v>
      </c>
      <c r="D21" s="5" t="inlineStr">
        <is>
          <t>Y</t>
        </is>
      </c>
      <c r="E21" s="5" t="inlineStr"/>
    </row>
    <row r="22">
      <c r="A22" s="9" t="inlineStr">
        <is>
          <t>Wiltshire Horn</t>
        </is>
      </c>
      <c r="B22" s="5" t="n">
        <v>150</v>
      </c>
      <c r="C22" s="5" t="n">
        <v>300</v>
      </c>
      <c r="D22" s="5" t="inlineStr">
        <is>
          <t>Y</t>
        </is>
      </c>
      <c r="E22" s="5" t="inlineStr"/>
    </row>
    <row r="23">
      <c r="A23" s="9" t="inlineStr"/>
      <c r="B23" s="5" t="inlineStr"/>
      <c r="C23" s="5" t="inlineStr"/>
      <c r="D23" s="5" t="inlineStr"/>
      <c r="E23" s="5" t="inlineStr"/>
    </row>
    <row r="24">
      <c r="A24" s="9" t="inlineStr"/>
      <c r="B24" s="5" t="inlineStr"/>
      <c r="C24" s="5" t="inlineStr"/>
      <c r="D24" s="5" t="inlineStr"/>
      <c r="E24" s="5" t="inlineStr"/>
    </row>
    <row r="25">
      <c r="A25" s="9" t="inlineStr"/>
      <c r="B25" s="5" t="inlineStr"/>
      <c r="C25" s="5" t="inlineStr"/>
      <c r="D25" s="5" t="inlineStr"/>
      <c r="E25" s="5" t="inlineStr"/>
    </row>
    <row r="26">
      <c r="A26" s="9" t="inlineStr"/>
      <c r="B26" s="5" t="inlineStr"/>
      <c r="C26" s="5" t="inlineStr"/>
      <c r="D26" s="5" t="inlineStr"/>
      <c r="E26" s="5" t="inlineStr"/>
    </row>
    <row r="27">
      <c r="A27" s="9" t="inlineStr"/>
      <c r="B27" s="5" t="inlineStr"/>
      <c r="C27" s="5" t="inlineStr"/>
      <c r="D27" s="5" t="inlineStr"/>
      <c r="E27" s="5" t="inlineStr"/>
    </row>
    <row r="28">
      <c r="A28" t="inlineStr">
        <is>
          <t>FM</t>
        </is>
      </c>
      <c r="D28" t="inlineStr">
        <is>
          <t>N</t>
        </is>
      </c>
      <c r="E28" t="inlineStr">
        <is>
          <t>From Manatee Creek - Weights and Averages.csv</t>
        </is>
      </c>
    </row>
    <row r="29">
      <c r="A29" t="inlineStr">
        <is>
          <t>FM 1</t>
        </is>
      </c>
      <c r="D29" t="inlineStr">
        <is>
          <t>N</t>
        </is>
      </c>
      <c r="E29" t="inlineStr">
        <is>
          <t>From Manatee Creek - Weights and Averages.csv</t>
        </is>
      </c>
    </row>
    <row r="30">
      <c r="A30" t="inlineStr">
        <is>
          <t>Nori</t>
        </is>
      </c>
      <c r="D30" t="inlineStr">
        <is>
          <t>N</t>
        </is>
      </c>
      <c r="E30" t="inlineStr">
        <is>
          <t>From Manatee Creek - Weights and Averages.csv</t>
        </is>
      </c>
    </row>
    <row r="31">
      <c r="A31" t="inlineStr">
        <is>
          <t>Eclipse</t>
        </is>
      </c>
      <c r="D31" t="inlineStr">
        <is>
          <t>N</t>
        </is>
      </c>
      <c r="E31" t="inlineStr">
        <is>
          <t>From Manatee Creek - Weights and Averages.csv</t>
        </is>
      </c>
    </row>
    <row r="32">
      <c r="A32" t="inlineStr">
        <is>
          <t>FM1 x Eclipse</t>
        </is>
      </c>
      <c r="D32" t="inlineStr">
        <is>
          <t>N</t>
        </is>
      </c>
      <c r="E32" t="inlineStr">
        <is>
          <t>From Manatee Creek - Weights and Averages.csv</t>
        </is>
      </c>
    </row>
    <row r="33">
      <c r="A33" t="inlineStr">
        <is>
          <t>Shaggy</t>
        </is>
      </c>
      <c r="D33" t="inlineStr">
        <is>
          <t>N</t>
        </is>
      </c>
      <c r="E33" t="inlineStr">
        <is>
          <t>From Manatee Creek - Weights and Averages.csv</t>
        </is>
      </c>
    </row>
    <row r="34">
      <c r="A34" t="inlineStr">
        <is>
          <t>Sir Loin</t>
        </is>
      </c>
      <c r="D34" t="inlineStr">
        <is>
          <t>N</t>
        </is>
      </c>
      <c r="E34" t="inlineStr">
        <is>
          <t>From Manatee Creek - Weights and Averages.csv</t>
        </is>
      </c>
    </row>
    <row r="35">
      <c r="A35" t="inlineStr">
        <is>
          <t>Serendipity</t>
        </is>
      </c>
      <c r="D35" t="inlineStr">
        <is>
          <t>N</t>
        </is>
      </c>
      <c r="E35" t="inlineStr">
        <is>
          <t>From Manatee Creek - Weights and Averages.csv</t>
        </is>
      </c>
    </row>
    <row r="36">
      <c r="A36" t="inlineStr">
        <is>
          <t>Kaladin</t>
        </is>
      </c>
      <c r="D36" t="inlineStr">
        <is>
          <t>N</t>
        </is>
      </c>
      <c r="E36" t="inlineStr">
        <is>
          <t>From Manatee Creek - Weights and Averages.csv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7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0" customWidth="1" min="24" max="24"/>
    <col width="22" customWidth="1" min="25" max="25"/>
    <col width="22" customWidth="1" min="26" max="26"/>
    <col width="16" customWidth="1" min="27" max="27"/>
    <col width="28" customWidth="1" min="28" max="28"/>
  </cols>
  <sheetData>
    <row r="1" ht="22" customHeight="1">
      <c r="A1" s="10" t="inlineStr">
        <is>
          <t>AnimalID*</t>
        </is>
      </c>
      <c r="B1" s="10" t="inlineStr">
        <is>
          <t>% Hair (optional)</t>
        </is>
      </c>
      <c r="C1" s="10" t="inlineStr">
        <is>
          <t>% American Black Belly</t>
        </is>
      </c>
      <c r="D1" s="10" t="inlineStr">
        <is>
          <t>% Awassi</t>
        </is>
      </c>
      <c r="E1" s="10" t="inlineStr">
        <is>
          <t>% Babydoll</t>
        </is>
      </c>
      <c r="F1" s="10" t="inlineStr">
        <is>
          <t>% Barbados Black Belly</t>
        </is>
      </c>
      <c r="G1" s="10" t="inlineStr">
        <is>
          <t>% Black Headed Dorper</t>
        </is>
      </c>
      <c r="H1" s="10" t="inlineStr">
        <is>
          <t>% Cotswald</t>
        </is>
      </c>
      <c r="I1" s="10" t="inlineStr">
        <is>
          <t>% Cracker</t>
        </is>
      </c>
      <c r="J1" s="10" t="inlineStr">
        <is>
          <t>% East Friesan</t>
        </is>
      </c>
      <c r="K1" s="10" t="inlineStr">
        <is>
          <t>% Gulf Coast Native</t>
        </is>
      </c>
      <c r="L1" s="10" t="inlineStr">
        <is>
          <t>% Hampshire</t>
        </is>
      </c>
      <c r="M1" s="10" t="inlineStr">
        <is>
          <t>% Jacob</t>
        </is>
      </c>
      <c r="N1" s="10" t="inlineStr">
        <is>
          <t>% Karakul</t>
        </is>
      </c>
      <c r="O1" s="10" t="inlineStr">
        <is>
          <t>% Katahdin</t>
        </is>
      </c>
      <c r="P1" s="10" t="inlineStr">
        <is>
          <t>% Southdown</t>
        </is>
      </c>
      <c r="Q1" s="10" t="inlineStr">
        <is>
          <t>% St Augustine</t>
        </is>
      </c>
      <c r="R1" s="10" t="inlineStr">
        <is>
          <t>% St Croix</t>
        </is>
      </c>
      <c r="S1" s="10" t="inlineStr">
        <is>
          <t>% Suffolk</t>
        </is>
      </c>
      <c r="T1" s="10" t="inlineStr">
        <is>
          <t>% Texel</t>
        </is>
      </c>
      <c r="U1" s="10" t="inlineStr">
        <is>
          <t>% Tunis</t>
        </is>
      </c>
      <c r="V1" s="10" t="inlineStr">
        <is>
          <t>% White Dorper</t>
        </is>
      </c>
      <c r="W1" s="10" t="inlineStr">
        <is>
          <t>% Wiltshire Horn</t>
        </is>
      </c>
      <c r="X1" s="10" t="inlineStr">
        <is>
          <t>Sum %</t>
        </is>
      </c>
      <c r="Y1" s="10" t="inlineStr">
        <is>
          <t>Expected mature wt (EWE, lb)</t>
        </is>
      </c>
      <c r="Z1" s="10" t="inlineStr">
        <is>
          <t>Expected mature wt (RAM, lb)</t>
        </is>
      </c>
      <c r="AA1" s="10" t="inlineStr">
        <is>
          <t>Primary Breed</t>
        </is>
      </c>
      <c r="AB1" s="10" t="inlineStr">
        <is>
          <t>Notes</t>
        </is>
      </c>
    </row>
    <row r="2">
      <c r="A2" s="5" t="inlineStr">
        <is>
          <t>MERRIE</t>
        </is>
      </c>
      <c r="B2" s="11" t="n">
        <v>100</v>
      </c>
      <c r="C2" s="12" t="n">
        <v>0</v>
      </c>
      <c r="D2" s="12" t="n">
        <v>0</v>
      </c>
      <c r="E2" s="12" t="n">
        <v>0</v>
      </c>
      <c r="F2" s="12" t="n">
        <v>6.25</v>
      </c>
      <c r="G2" s="12" t="n">
        <v>0</v>
      </c>
      <c r="H2" s="12" t="n">
        <v>0</v>
      </c>
      <c r="I2" s="12" t="n">
        <v>50</v>
      </c>
      <c r="J2" s="12" t="n">
        <v>0</v>
      </c>
      <c r="K2" s="12" t="n">
        <v>0</v>
      </c>
      <c r="L2" s="12" t="n">
        <v>0</v>
      </c>
      <c r="M2" s="12" t="n">
        <v>0</v>
      </c>
      <c r="N2" s="12" t="n">
        <v>0</v>
      </c>
      <c r="O2" s="12" t="n">
        <v>12.5</v>
      </c>
      <c r="P2" s="12" t="n">
        <v>0</v>
      </c>
      <c r="Q2" s="12" t="n">
        <v>28.125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3.125</v>
      </c>
      <c r="W2" s="12" t="n">
        <v>0</v>
      </c>
      <c r="X2" s="13">
        <f>IF($A2="","",SUM(C2:W2))</f>
        <v/>
      </c>
      <c r="Y2" s="27">
        <f>IF($A2="","",SUMPRODUCT(C2:W2,BREED_SUPERSET!$B$2:$B$22)/100)</f>
        <v/>
      </c>
      <c r="Z2" s="27">
        <f>IF($A2="","",SUMPRODUCT(C2:W2,BREED_SUPERSET!$C$2:$C$22)/100)</f>
        <v/>
      </c>
      <c r="AA2" s="5" t="inlineStr">
        <is>
          <t>Cracker</t>
        </is>
      </c>
      <c r="AB2" s="5" t="inlineStr">
        <is>
          <t>Imported from paste/CSV; verify if conflicts</t>
        </is>
      </c>
    </row>
    <row r="3">
      <c r="A3" s="5" t="inlineStr">
        <is>
          <t>ELSIE</t>
        </is>
      </c>
      <c r="B3" s="11" t="n"/>
      <c r="C3" s="12" t="n">
        <v>6.25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65.625</v>
      </c>
      <c r="P3" s="12" t="n">
        <v>0</v>
      </c>
      <c r="Q3" s="12" t="n">
        <v>28.125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3">
        <f>IF($A3="","",SUM(C3:W3))</f>
        <v/>
      </c>
      <c r="Y3" s="27">
        <f>IF($A3="","",SUMPRODUCT(C3:W3,BREED_SUPERSET!$B$2:$B$22)/100)</f>
        <v/>
      </c>
      <c r="Z3" s="27">
        <f>IF($A3="","",SUMPRODUCT(C3:W3,BREED_SUPERSET!$C$2:$C$22)/100)</f>
        <v/>
      </c>
      <c r="AA3" s="5" t="inlineStr">
        <is>
          <t>Southdown</t>
        </is>
      </c>
      <c r="AB3" s="5" t="inlineStr">
        <is>
          <t>Imported from paste/CSV; verify if conflicts</t>
        </is>
      </c>
    </row>
    <row r="4">
      <c r="A4" s="5" t="inlineStr">
        <is>
          <t>BROKEN_TAIL</t>
        </is>
      </c>
      <c r="B4" s="11" t="n"/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28.125</v>
      </c>
      <c r="P4" s="12" t="n">
        <v>0</v>
      </c>
      <c r="Q4" s="12" t="n">
        <v>65.625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3">
        <f>IF($A4="","",SUM(C4:W4))</f>
        <v/>
      </c>
      <c r="Y4" s="27">
        <f>IF($A4="","",SUMPRODUCT(C4:W4,BREED_SUPERSET!$B$2:$B$22)/100)</f>
        <v/>
      </c>
      <c r="Z4" s="27">
        <f>IF($A4="","",SUMPRODUCT(C4:W4,BREED_SUPERSET!$C$2:$C$22)/100)</f>
        <v/>
      </c>
      <c r="AA4" s="5" t="inlineStr">
        <is>
          <t>Black Headed Dorper</t>
        </is>
      </c>
      <c r="AB4" s="5" t="inlineStr">
        <is>
          <t>Imported from paste/CSV; verify if conflicts</t>
        </is>
      </c>
    </row>
    <row r="5">
      <c r="A5" s="5" t="inlineStr">
        <is>
          <t>BUCK_2433</t>
        </is>
      </c>
      <c r="B5" s="11" t="n"/>
      <c r="C5" s="12" t="n">
        <v>0</v>
      </c>
      <c r="D5" s="12" t="n">
        <v>48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2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50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3">
        <f>IF($A5="","",SUM(C5:W5))</f>
        <v/>
      </c>
      <c r="Y5" s="27">
        <f>IF($A5="","",SUMPRODUCT(C5:W5,BREED_SUPERSET!$B$2:$B$22)/100)</f>
        <v/>
      </c>
      <c r="Z5" s="27">
        <f>IF($A5="","",SUMPRODUCT(C5:W5,BREED_SUPERSET!$C$2:$C$22)/100)</f>
        <v/>
      </c>
      <c r="AA5" s="5" t="inlineStr">
        <is>
          <t>Katahdin</t>
        </is>
      </c>
      <c r="AB5" s="5" t="inlineStr">
        <is>
          <t>Imported from paste/CSV; verify if conflicts</t>
        </is>
      </c>
    </row>
    <row r="6">
      <c r="A6" s="5" t="inlineStr">
        <is>
          <t>SIRLOIN</t>
        </is>
      </c>
      <c r="B6" s="11" t="n"/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25</v>
      </c>
      <c r="P6" s="12" t="n">
        <v>0</v>
      </c>
      <c r="Q6" s="12" t="n">
        <v>75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3">
        <f>IF($A6="","",SUM(C6:W6))</f>
        <v/>
      </c>
      <c r="Y6" s="27">
        <f>IF($A6="","",SUMPRODUCT(C6:W6,BREED_SUPERSET!$B$2:$B$22)/100)</f>
        <v/>
      </c>
      <c r="Z6" s="27">
        <f>IF($A6="","",SUMPRODUCT(C6:W6,BREED_SUPERSET!$C$2:$C$22)/100)</f>
        <v/>
      </c>
      <c r="AA6" s="5" t="inlineStr"/>
      <c r="AB6" s="5" t="inlineStr">
        <is>
          <t>Imported from paste/CSV; verify if conflicts</t>
        </is>
      </c>
    </row>
    <row r="7">
      <c r="A7" s="5" t="n"/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>
        <v>0</v>
      </c>
      <c r="X7" s="13">
        <f>IF($A7="","",SUM(C7:W7))</f>
        <v/>
      </c>
      <c r="Y7" s="27">
        <f>IF($A7="","",SUMPRODUCT(C7:W7,BREED_SUPERSET!$B$2:$B$22)/100)</f>
        <v/>
      </c>
      <c r="Z7" s="27">
        <f>IF($A7="","",SUMPRODUCT(C7:W7,BREED_SUPERSET!$C$2:$C$22)/100)</f>
        <v/>
      </c>
      <c r="AA7" s="5" t="inlineStr"/>
      <c r="AB7" s="5" t="n"/>
    </row>
    <row r="8">
      <c r="A8" s="5" t="n"/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>
        <v>0</v>
      </c>
      <c r="X8" s="13">
        <f>IF($A8="","",SUM(C8:W8))</f>
        <v/>
      </c>
      <c r="Y8" s="27">
        <f>IF($A8="","",SUMPRODUCT(C8:W8,BREED_SUPERSET!$B$2:$B$22)/100)</f>
        <v/>
      </c>
      <c r="Z8" s="27">
        <f>IF($A8="","",SUMPRODUCT(C8:W8,BREED_SUPERSET!$C$2:$C$22)/100)</f>
        <v/>
      </c>
      <c r="AA8" s="5" t="inlineStr"/>
      <c r="AB8" s="5" t="n"/>
    </row>
    <row r="9">
      <c r="A9" s="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>
        <v>0</v>
      </c>
      <c r="X9" s="13">
        <f>IF($A9="","",SUM(C9:W9))</f>
        <v/>
      </c>
      <c r="Y9" s="27">
        <f>IF($A9="","",SUMPRODUCT(C9:W9,BREED_SUPERSET!$B$2:$B$22)/100)</f>
        <v/>
      </c>
      <c r="Z9" s="27">
        <f>IF($A9="","",SUMPRODUCT(C9:W9,BREED_SUPERSET!$C$2:$C$22)/100)</f>
        <v/>
      </c>
      <c r="AA9" s="5" t="inlineStr"/>
      <c r="AB9" s="5" t="n"/>
    </row>
    <row r="10">
      <c r="A10" s="5" t="n"/>
      <c r="B10" s="11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>
        <v>0</v>
      </c>
      <c r="X10" s="13">
        <f>IF($A10="","",SUM(C10:W10))</f>
        <v/>
      </c>
      <c r="Y10" s="27">
        <f>IF($A10="","",SUMPRODUCT(C10:W10,BREED_SUPERSET!$B$2:$B$22)/100)</f>
        <v/>
      </c>
      <c r="Z10" s="27">
        <f>IF($A10="","",SUMPRODUCT(C10:W10,BREED_SUPERSET!$C$2:$C$22)/100)</f>
        <v/>
      </c>
      <c r="AA10" s="5" t="inlineStr"/>
      <c r="AB10" s="5" t="n"/>
    </row>
    <row r="11">
      <c r="A11" s="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>
        <v>0</v>
      </c>
      <c r="X11" s="13">
        <f>IF($A11="","",SUM(C11:W11))</f>
        <v/>
      </c>
      <c r="Y11" s="27">
        <f>IF($A11="","",SUMPRODUCT(C11:W11,BREED_SUPERSET!$B$2:$B$22)/100)</f>
        <v/>
      </c>
      <c r="Z11" s="27">
        <f>IF($A11="","",SUMPRODUCT(C11:W11,BREED_SUPERSET!$C$2:$C$22)/100)</f>
        <v/>
      </c>
      <c r="AA11" s="5" t="inlineStr"/>
      <c r="AB11" s="5" t="n"/>
    </row>
    <row r="12">
      <c r="A12" s="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>
        <v>0</v>
      </c>
      <c r="X12" s="13">
        <f>IF($A12="","",SUM(C12:W12))</f>
        <v/>
      </c>
      <c r="Y12" s="27">
        <f>IF($A12="","",SUMPRODUCT(C12:W12,BREED_SUPERSET!$B$2:$B$22)/100)</f>
        <v/>
      </c>
      <c r="Z12" s="27">
        <f>IF($A12="","",SUMPRODUCT(C12:W12,BREED_SUPERSET!$C$2:$C$22)/100)</f>
        <v/>
      </c>
      <c r="AA12" s="5" t="inlineStr"/>
      <c r="AB12" s="5" t="n"/>
    </row>
    <row r="13">
      <c r="A13" s="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>
        <v>0</v>
      </c>
      <c r="X13" s="13">
        <f>IF($A13="","",SUM(C13:W13))</f>
        <v/>
      </c>
      <c r="Y13" s="27">
        <f>IF($A13="","",SUMPRODUCT(C13:W13,BREED_SUPERSET!$B$2:$B$22)/100)</f>
        <v/>
      </c>
      <c r="Z13" s="27">
        <f>IF($A13="","",SUMPRODUCT(C13:W13,BREED_SUPERSET!$C$2:$C$22)/100)</f>
        <v/>
      </c>
      <c r="AA13" s="5" t="inlineStr"/>
      <c r="AB13" s="5" t="n"/>
    </row>
    <row r="14">
      <c r="A14" s="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>
        <v>0</v>
      </c>
      <c r="X14" s="13">
        <f>IF($A14="","",SUM(C14:W14))</f>
        <v/>
      </c>
      <c r="Y14" s="27">
        <f>IF($A14="","",SUMPRODUCT(C14:W14,BREED_SUPERSET!$B$2:$B$22)/100)</f>
        <v/>
      </c>
      <c r="Z14" s="27">
        <f>IF($A14="","",SUMPRODUCT(C14:W14,BREED_SUPERSET!$C$2:$C$22)/100)</f>
        <v/>
      </c>
      <c r="AA14" s="5" t="inlineStr"/>
      <c r="AB14" s="5" t="n"/>
    </row>
    <row r="15">
      <c r="A15" s="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>
        <v>0</v>
      </c>
      <c r="X15" s="13">
        <f>IF($A15="","",SUM(C15:W15))</f>
        <v/>
      </c>
      <c r="Y15" s="27">
        <f>IF($A15="","",SUMPRODUCT(C15:W15,BREED_SUPERSET!$B$2:$B$22)/100)</f>
        <v/>
      </c>
      <c r="Z15" s="27">
        <f>IF($A15="","",SUMPRODUCT(C15:W15,BREED_SUPERSET!$C$2:$C$22)/100)</f>
        <v/>
      </c>
      <c r="AA15" s="5" t="inlineStr"/>
      <c r="AB15" s="5" t="n"/>
    </row>
    <row r="16">
      <c r="A16" s="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>
        <v>0</v>
      </c>
      <c r="X16" s="13">
        <f>IF($A16="","",SUM(C16:W16))</f>
        <v/>
      </c>
      <c r="Y16" s="27">
        <f>IF($A16="","",SUMPRODUCT(C16:W16,BREED_SUPERSET!$B$2:$B$22)/100)</f>
        <v/>
      </c>
      <c r="Z16" s="27">
        <f>IF($A16="","",SUMPRODUCT(C16:W16,BREED_SUPERSET!$C$2:$C$22)/100)</f>
        <v/>
      </c>
      <c r="AA16" s="5" t="inlineStr"/>
      <c r="AB16" s="5" t="n"/>
    </row>
    <row r="17">
      <c r="A17" s="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>
        <v>0</v>
      </c>
      <c r="X17" s="13">
        <f>IF($A17="","",SUM(C17:W17))</f>
        <v/>
      </c>
      <c r="Y17" s="27">
        <f>IF($A17="","",SUMPRODUCT(C17:W17,BREED_SUPERSET!$B$2:$B$22)/100)</f>
        <v/>
      </c>
      <c r="Z17" s="27">
        <f>IF($A17="","",SUMPRODUCT(C17:W17,BREED_SUPERSET!$C$2:$C$22)/100)</f>
        <v/>
      </c>
      <c r="AA17" s="5" t="inlineStr"/>
      <c r="AB17" s="5" t="n"/>
    </row>
    <row r="18">
      <c r="A18" s="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>
        <v>0</v>
      </c>
      <c r="X18" s="13">
        <f>IF($A18="","",SUM(C18:W18))</f>
        <v/>
      </c>
      <c r="Y18" s="27">
        <f>IF($A18="","",SUMPRODUCT(C18:W18,BREED_SUPERSET!$B$2:$B$22)/100)</f>
        <v/>
      </c>
      <c r="Z18" s="27">
        <f>IF($A18="","",SUMPRODUCT(C18:W18,BREED_SUPERSET!$C$2:$C$22)/100)</f>
        <v/>
      </c>
      <c r="AA18" s="5" t="inlineStr"/>
      <c r="AB18" s="5" t="n"/>
    </row>
    <row r="19">
      <c r="A19" s="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>
        <v>0</v>
      </c>
      <c r="X19" s="13">
        <f>IF($A19="","",SUM(C19:W19))</f>
        <v/>
      </c>
      <c r="Y19" s="27">
        <f>IF($A19="","",SUMPRODUCT(C19:W19,BREED_SUPERSET!$B$2:$B$22)/100)</f>
        <v/>
      </c>
      <c r="Z19" s="27">
        <f>IF($A19="","",SUMPRODUCT(C19:W19,BREED_SUPERSET!$C$2:$C$22)/100)</f>
        <v/>
      </c>
      <c r="AA19" s="5" t="inlineStr"/>
      <c r="AB19" s="5" t="n"/>
    </row>
    <row r="20">
      <c r="A20" s="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>
        <v>0</v>
      </c>
      <c r="X20" s="13">
        <f>IF($A20="","",SUM(C20:W20))</f>
        <v/>
      </c>
      <c r="Y20" s="27">
        <f>IF($A20="","",SUMPRODUCT(C20:W20,BREED_SUPERSET!$B$2:$B$22)/100)</f>
        <v/>
      </c>
      <c r="Z20" s="27">
        <f>IF($A20="","",SUMPRODUCT(C20:W20,BREED_SUPERSET!$C$2:$C$22)/100)</f>
        <v/>
      </c>
      <c r="AA20" s="5" t="inlineStr"/>
      <c r="AB20" s="5" t="n"/>
    </row>
    <row r="21">
      <c r="A21" s="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>
        <v>0</v>
      </c>
      <c r="X21" s="13">
        <f>IF($A21="","",SUM(C21:W21))</f>
        <v/>
      </c>
      <c r="Y21" s="27">
        <f>IF($A21="","",SUMPRODUCT(C21:W21,BREED_SUPERSET!$B$2:$B$22)/100)</f>
        <v/>
      </c>
      <c r="Z21" s="27">
        <f>IF($A21="","",SUMPRODUCT(C21:W21,BREED_SUPERSET!$C$2:$C$22)/100)</f>
        <v/>
      </c>
      <c r="AA21" s="5" t="inlineStr"/>
      <c r="AB21" s="5" t="n"/>
    </row>
    <row r="22">
      <c r="A22" s="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>
        <v>0</v>
      </c>
      <c r="X22" s="13">
        <f>IF($A22="","",SUM(C22:W22))</f>
        <v/>
      </c>
      <c r="Y22" s="27">
        <f>IF($A22="","",SUMPRODUCT(C22:W22,BREED_SUPERSET!$B$2:$B$22)/100)</f>
        <v/>
      </c>
      <c r="Z22" s="27">
        <f>IF($A22="","",SUMPRODUCT(C22:W22,BREED_SUPERSET!$C$2:$C$22)/100)</f>
        <v/>
      </c>
      <c r="AA22" s="5" t="inlineStr"/>
      <c r="AB22" s="5" t="n"/>
    </row>
    <row r="23">
      <c r="A23" s="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>
        <v>0</v>
      </c>
      <c r="X23" s="13">
        <f>IF($A23="","",SUM(C23:W23))</f>
        <v/>
      </c>
      <c r="Y23" s="27">
        <f>IF($A23="","",SUMPRODUCT(C23:W23,BREED_SUPERSET!$B$2:$B$22)/100)</f>
        <v/>
      </c>
      <c r="Z23" s="27">
        <f>IF($A23="","",SUMPRODUCT(C23:W23,BREED_SUPERSET!$C$2:$C$22)/100)</f>
        <v/>
      </c>
      <c r="AA23" s="5" t="inlineStr"/>
      <c r="AB23" s="5" t="n"/>
    </row>
    <row r="24">
      <c r="A24" s="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>
        <v>0</v>
      </c>
      <c r="X24" s="13">
        <f>IF($A24="","",SUM(C24:W24))</f>
        <v/>
      </c>
      <c r="Y24" s="27">
        <f>IF($A24="","",SUMPRODUCT(C24:W24,BREED_SUPERSET!$B$2:$B$22)/100)</f>
        <v/>
      </c>
      <c r="Z24" s="27">
        <f>IF($A24="","",SUMPRODUCT(C24:W24,BREED_SUPERSET!$C$2:$C$22)/100)</f>
        <v/>
      </c>
      <c r="AA24" s="5" t="inlineStr"/>
      <c r="AB24" s="5" t="n"/>
    </row>
    <row r="25">
      <c r="A25" s="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>
        <v>0</v>
      </c>
      <c r="X25" s="13">
        <f>IF($A25="","",SUM(C25:W25))</f>
        <v/>
      </c>
      <c r="Y25" s="27">
        <f>IF($A25="","",SUMPRODUCT(C25:W25,BREED_SUPERSET!$B$2:$B$22)/100)</f>
        <v/>
      </c>
      <c r="Z25" s="27">
        <f>IF($A25="","",SUMPRODUCT(C25:W25,BREED_SUPERSET!$C$2:$C$22)/100)</f>
        <v/>
      </c>
      <c r="AA25" s="5" t="inlineStr"/>
      <c r="AB25" s="5" t="n"/>
    </row>
    <row r="26">
      <c r="A26" s="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>
        <v>0</v>
      </c>
      <c r="X26" s="13">
        <f>IF($A26="","",SUM(C26:W26))</f>
        <v/>
      </c>
      <c r="Y26" s="27">
        <f>IF($A26="","",SUMPRODUCT(C26:W26,BREED_SUPERSET!$B$2:$B$22)/100)</f>
        <v/>
      </c>
      <c r="Z26" s="27">
        <f>IF($A26="","",SUMPRODUCT(C26:W26,BREED_SUPERSET!$C$2:$C$22)/100)</f>
        <v/>
      </c>
      <c r="AA26" s="5" t="inlineStr"/>
      <c r="AB26" s="5" t="n"/>
    </row>
    <row r="27">
      <c r="A27" s="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>
        <v>0</v>
      </c>
      <c r="X27" s="13">
        <f>IF($A27="","",SUM(C27:W27))</f>
        <v/>
      </c>
      <c r="Y27" s="27">
        <f>IF($A27="","",SUMPRODUCT(C27:W27,BREED_SUPERSET!$B$2:$B$22)/100)</f>
        <v/>
      </c>
      <c r="Z27" s="27">
        <f>IF($A27="","",SUMPRODUCT(C27:W27,BREED_SUPERSET!$C$2:$C$22)/100)</f>
        <v/>
      </c>
      <c r="AA27" s="5" t="inlineStr"/>
      <c r="AB27" s="5" t="n"/>
    </row>
    <row r="28">
      <c r="A28" s="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>
        <v>0</v>
      </c>
      <c r="X28" s="13">
        <f>IF($A28="","",SUM(C28:W28))</f>
        <v/>
      </c>
      <c r="Y28" s="27">
        <f>IF($A28="","",SUMPRODUCT(C28:W28,BREED_SUPERSET!$B$2:$B$22)/100)</f>
        <v/>
      </c>
      <c r="Z28" s="27">
        <f>IF($A28="","",SUMPRODUCT(C28:W28,BREED_SUPERSET!$C$2:$C$22)/100)</f>
        <v/>
      </c>
      <c r="AA28" s="5" t="inlineStr"/>
      <c r="AB28" s="5" t="n"/>
    </row>
    <row r="29">
      <c r="A29" s="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>
        <v>0</v>
      </c>
      <c r="X29" s="13">
        <f>IF($A29="","",SUM(C29:W29))</f>
        <v/>
      </c>
      <c r="Y29" s="27">
        <f>IF($A29="","",SUMPRODUCT(C29:W29,BREED_SUPERSET!$B$2:$B$22)/100)</f>
        <v/>
      </c>
      <c r="Z29" s="27">
        <f>IF($A29="","",SUMPRODUCT(C29:W29,BREED_SUPERSET!$C$2:$C$22)/100)</f>
        <v/>
      </c>
      <c r="AA29" s="5" t="inlineStr"/>
      <c r="AB29" s="5" t="n"/>
    </row>
    <row r="30">
      <c r="A30" s="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>
        <v>0</v>
      </c>
      <c r="X30" s="13">
        <f>IF($A30="","",SUM(C30:W30))</f>
        <v/>
      </c>
      <c r="Y30" s="27">
        <f>IF($A30="","",SUMPRODUCT(C30:W30,BREED_SUPERSET!$B$2:$B$22)/100)</f>
        <v/>
      </c>
      <c r="Z30" s="27">
        <f>IF($A30="","",SUMPRODUCT(C30:W30,BREED_SUPERSET!$C$2:$C$22)/100)</f>
        <v/>
      </c>
      <c r="AA30" s="5" t="inlineStr"/>
      <c r="AB30" s="5" t="n"/>
    </row>
    <row r="31">
      <c r="A31" s="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>
        <v>0</v>
      </c>
      <c r="X31" s="13">
        <f>IF($A31="","",SUM(C31:W31))</f>
        <v/>
      </c>
      <c r="Y31" s="27">
        <f>IF($A31="","",SUMPRODUCT(C31:W31,BREED_SUPERSET!$B$2:$B$22)/100)</f>
        <v/>
      </c>
      <c r="Z31" s="27">
        <f>IF($A31="","",SUMPRODUCT(C31:W31,BREED_SUPERSET!$C$2:$C$22)/100)</f>
        <v/>
      </c>
      <c r="AA31" s="5" t="inlineStr"/>
      <c r="AB31" s="5" t="n"/>
    </row>
    <row r="32">
      <c r="A32" s="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>
        <v>0</v>
      </c>
      <c r="X32" s="13">
        <f>IF($A32="","",SUM(C32:W32))</f>
        <v/>
      </c>
      <c r="Y32" s="27">
        <f>IF($A32="","",SUMPRODUCT(C32:W32,BREED_SUPERSET!$B$2:$B$22)/100)</f>
        <v/>
      </c>
      <c r="Z32" s="27">
        <f>IF($A32="","",SUMPRODUCT(C32:W32,BREED_SUPERSET!$C$2:$C$22)/100)</f>
        <v/>
      </c>
      <c r="AA32" s="5" t="inlineStr"/>
      <c r="AB32" s="5" t="n"/>
    </row>
    <row r="33">
      <c r="A33" s="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>
        <v>0</v>
      </c>
      <c r="X33" s="13">
        <f>IF($A33="","",SUM(C33:W33))</f>
        <v/>
      </c>
      <c r="Y33" s="27">
        <f>IF($A33="","",SUMPRODUCT(C33:W33,BREED_SUPERSET!$B$2:$B$22)/100)</f>
        <v/>
      </c>
      <c r="Z33" s="27">
        <f>IF($A33="","",SUMPRODUCT(C33:W33,BREED_SUPERSET!$C$2:$C$22)/100)</f>
        <v/>
      </c>
      <c r="AA33" s="5" t="inlineStr"/>
      <c r="AB33" s="5" t="n"/>
    </row>
    <row r="34">
      <c r="A34" s="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>
        <v>0</v>
      </c>
      <c r="X34" s="13">
        <f>IF($A34="","",SUM(C34:W34))</f>
        <v/>
      </c>
      <c r="Y34" s="27">
        <f>IF($A34="","",SUMPRODUCT(C34:W34,BREED_SUPERSET!$B$2:$B$22)/100)</f>
        <v/>
      </c>
      <c r="Z34" s="27">
        <f>IF($A34="","",SUMPRODUCT(C34:W34,BREED_SUPERSET!$C$2:$C$22)/100)</f>
        <v/>
      </c>
      <c r="AA34" s="5" t="inlineStr"/>
      <c r="AB34" s="5" t="n"/>
    </row>
    <row r="35">
      <c r="A35" s="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>
        <v>0</v>
      </c>
      <c r="X35" s="13">
        <f>IF($A35="","",SUM(C35:W35))</f>
        <v/>
      </c>
      <c r="Y35" s="27">
        <f>IF($A35="","",SUMPRODUCT(C35:W35,BREED_SUPERSET!$B$2:$B$22)/100)</f>
        <v/>
      </c>
      <c r="Z35" s="27">
        <f>IF($A35="","",SUMPRODUCT(C35:W35,BREED_SUPERSET!$C$2:$C$22)/100)</f>
        <v/>
      </c>
      <c r="AA35" s="5" t="inlineStr"/>
      <c r="AB35" s="5" t="n"/>
    </row>
    <row r="36">
      <c r="A36" s="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>
        <v>0</v>
      </c>
      <c r="X36" s="13">
        <f>IF($A36="","",SUM(C36:W36))</f>
        <v/>
      </c>
      <c r="Y36" s="27">
        <f>IF($A36="","",SUMPRODUCT(C36:W36,BREED_SUPERSET!$B$2:$B$22)/100)</f>
        <v/>
      </c>
      <c r="Z36" s="27">
        <f>IF($A36="","",SUMPRODUCT(C36:W36,BREED_SUPERSET!$C$2:$C$22)/100)</f>
        <v/>
      </c>
      <c r="AA36" s="5" t="inlineStr"/>
      <c r="AB36" s="5" t="n"/>
    </row>
    <row r="37">
      <c r="A37" s="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>
        <v>0</v>
      </c>
      <c r="X37" s="13">
        <f>IF($A37="","",SUM(C37:W37))</f>
        <v/>
      </c>
      <c r="Y37" s="27">
        <f>IF($A37="","",SUMPRODUCT(C37:W37,BREED_SUPERSET!$B$2:$B$22)/100)</f>
        <v/>
      </c>
      <c r="Z37" s="27">
        <f>IF($A37="","",SUMPRODUCT(C37:W37,BREED_SUPERSET!$C$2:$C$22)/100)</f>
        <v/>
      </c>
      <c r="AA37" s="5" t="inlineStr"/>
      <c r="AB37" s="5" t="n"/>
    </row>
    <row r="38">
      <c r="A38" s="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>
        <v>0</v>
      </c>
      <c r="X38" s="13">
        <f>IF($A38="","",SUM(C38:W38))</f>
        <v/>
      </c>
      <c r="Y38" s="27">
        <f>IF($A38="","",SUMPRODUCT(C38:W38,BREED_SUPERSET!$B$2:$B$22)/100)</f>
        <v/>
      </c>
      <c r="Z38" s="27">
        <f>IF($A38="","",SUMPRODUCT(C38:W38,BREED_SUPERSET!$C$2:$C$22)/100)</f>
        <v/>
      </c>
      <c r="AA38" s="5" t="inlineStr"/>
      <c r="AB38" s="5" t="n"/>
    </row>
    <row r="39">
      <c r="A39" s="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>
        <v>0</v>
      </c>
      <c r="X39" s="13">
        <f>IF($A39="","",SUM(C39:W39))</f>
        <v/>
      </c>
      <c r="Y39" s="27">
        <f>IF($A39="","",SUMPRODUCT(C39:W39,BREED_SUPERSET!$B$2:$B$22)/100)</f>
        <v/>
      </c>
      <c r="Z39" s="27">
        <f>IF($A39="","",SUMPRODUCT(C39:W39,BREED_SUPERSET!$C$2:$C$22)/100)</f>
        <v/>
      </c>
      <c r="AA39" s="5" t="inlineStr"/>
      <c r="AB39" s="5" t="n"/>
    </row>
    <row r="40">
      <c r="A40" s="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>
        <v>0</v>
      </c>
      <c r="X40" s="13">
        <f>IF($A40="","",SUM(C40:W40))</f>
        <v/>
      </c>
      <c r="Y40" s="27">
        <f>IF($A40="","",SUMPRODUCT(C40:W40,BREED_SUPERSET!$B$2:$B$22)/100)</f>
        <v/>
      </c>
      <c r="Z40" s="27">
        <f>IF($A40="","",SUMPRODUCT(C40:W40,BREED_SUPERSET!$C$2:$C$22)/100)</f>
        <v/>
      </c>
      <c r="AA40" s="5" t="inlineStr"/>
      <c r="AB40" s="5" t="n"/>
    </row>
    <row r="41">
      <c r="A41" s="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>
        <v>0</v>
      </c>
      <c r="X41" s="13">
        <f>IF($A41="","",SUM(C41:W41))</f>
        <v/>
      </c>
      <c r="Y41" s="27">
        <f>IF($A41="","",SUMPRODUCT(C41:W41,BREED_SUPERSET!$B$2:$B$22)/100)</f>
        <v/>
      </c>
      <c r="Z41" s="27">
        <f>IF($A41="","",SUMPRODUCT(C41:W41,BREED_SUPERSET!$C$2:$C$22)/100)</f>
        <v/>
      </c>
      <c r="AA41" s="5" t="inlineStr"/>
      <c r="AB41" s="5" t="n"/>
    </row>
    <row r="42">
      <c r="A42" s="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>
        <v>0</v>
      </c>
      <c r="X42" s="13">
        <f>IF($A42="","",SUM(C42:W42))</f>
        <v/>
      </c>
      <c r="Y42" s="27">
        <f>IF($A42="","",SUMPRODUCT(C42:W42,BREED_SUPERSET!$B$2:$B$22)/100)</f>
        <v/>
      </c>
      <c r="Z42" s="27">
        <f>IF($A42="","",SUMPRODUCT(C42:W42,BREED_SUPERSET!$C$2:$C$22)/100)</f>
        <v/>
      </c>
      <c r="AA42" s="5" t="inlineStr"/>
      <c r="AB42" s="5" t="n"/>
    </row>
    <row r="43">
      <c r="A43" s="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>
        <v>0</v>
      </c>
      <c r="X43" s="13">
        <f>IF($A43="","",SUM(C43:W43))</f>
        <v/>
      </c>
      <c r="Y43" s="27">
        <f>IF($A43="","",SUMPRODUCT(C43:W43,BREED_SUPERSET!$B$2:$B$22)/100)</f>
        <v/>
      </c>
      <c r="Z43" s="27">
        <f>IF($A43="","",SUMPRODUCT(C43:W43,BREED_SUPERSET!$C$2:$C$22)/100)</f>
        <v/>
      </c>
      <c r="AA43" s="5" t="inlineStr"/>
      <c r="AB43" s="5" t="n"/>
    </row>
    <row r="44">
      <c r="A44" s="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>
        <v>0</v>
      </c>
      <c r="X44" s="13">
        <f>IF($A44="","",SUM(C44:W44))</f>
        <v/>
      </c>
      <c r="Y44" s="27">
        <f>IF($A44="","",SUMPRODUCT(C44:W44,BREED_SUPERSET!$B$2:$B$22)/100)</f>
        <v/>
      </c>
      <c r="Z44" s="27">
        <f>IF($A44="","",SUMPRODUCT(C44:W44,BREED_SUPERSET!$C$2:$C$22)/100)</f>
        <v/>
      </c>
      <c r="AA44" s="5" t="inlineStr"/>
      <c r="AB44" s="5" t="n"/>
    </row>
    <row r="45">
      <c r="A45" s="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>
        <v>0</v>
      </c>
      <c r="X45" s="13">
        <f>IF($A45="","",SUM(C45:W45))</f>
        <v/>
      </c>
      <c r="Y45" s="27">
        <f>IF($A45="","",SUMPRODUCT(C45:W45,BREED_SUPERSET!$B$2:$B$22)/100)</f>
        <v/>
      </c>
      <c r="Z45" s="27">
        <f>IF($A45="","",SUMPRODUCT(C45:W45,BREED_SUPERSET!$C$2:$C$22)/100)</f>
        <v/>
      </c>
      <c r="AA45" s="5" t="inlineStr"/>
      <c r="AB45" s="5" t="n"/>
    </row>
    <row r="46">
      <c r="A46" s="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>
        <v>0</v>
      </c>
      <c r="X46" s="13">
        <f>IF($A46="","",SUM(C46:W46))</f>
        <v/>
      </c>
      <c r="Y46" s="27">
        <f>IF($A46="","",SUMPRODUCT(C46:W46,BREED_SUPERSET!$B$2:$B$22)/100)</f>
        <v/>
      </c>
      <c r="Z46" s="27">
        <f>IF($A46="","",SUMPRODUCT(C46:W46,BREED_SUPERSET!$C$2:$C$22)/100)</f>
        <v/>
      </c>
      <c r="AA46" s="5" t="inlineStr"/>
      <c r="AB46" s="5" t="n"/>
    </row>
    <row r="47">
      <c r="A47" s="5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>
        <v>0</v>
      </c>
      <c r="X47" s="13">
        <f>IF($A47="","",SUM(C47:W47))</f>
        <v/>
      </c>
      <c r="Y47" s="27">
        <f>IF($A47="","",SUMPRODUCT(C47:W47,BREED_SUPERSET!$B$2:$B$22)/100)</f>
        <v/>
      </c>
      <c r="Z47" s="27">
        <f>IF($A47="","",SUMPRODUCT(C47:W47,BREED_SUPERSET!$C$2:$C$22)/100)</f>
        <v/>
      </c>
      <c r="AA47" s="5" t="inlineStr"/>
      <c r="AB47" s="5" t="n"/>
    </row>
    <row r="48">
      <c r="A48" s="5" t="n"/>
      <c r="B48" s="11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>
        <v>0</v>
      </c>
      <c r="X48" s="13">
        <f>IF($A48="","",SUM(C48:W48))</f>
        <v/>
      </c>
      <c r="Y48" s="27">
        <f>IF($A48="","",SUMPRODUCT(C48:W48,BREED_SUPERSET!$B$2:$B$22)/100)</f>
        <v/>
      </c>
      <c r="Z48" s="27">
        <f>IF($A48="","",SUMPRODUCT(C48:W48,BREED_SUPERSET!$C$2:$C$22)/100)</f>
        <v/>
      </c>
      <c r="AA48" s="5" t="inlineStr"/>
      <c r="AB48" s="5" t="n"/>
    </row>
    <row r="49">
      <c r="A49" s="5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>
        <v>0</v>
      </c>
      <c r="X49" s="13">
        <f>IF($A49="","",SUM(C49:W49))</f>
        <v/>
      </c>
      <c r="Y49" s="27">
        <f>IF($A49="","",SUMPRODUCT(C49:W49,BREED_SUPERSET!$B$2:$B$22)/100)</f>
        <v/>
      </c>
      <c r="Z49" s="27">
        <f>IF($A49="","",SUMPRODUCT(C49:W49,BREED_SUPERSET!$C$2:$C$22)/100)</f>
        <v/>
      </c>
      <c r="AA49" s="5" t="inlineStr"/>
      <c r="AB49" s="5" t="n"/>
    </row>
    <row r="50">
      <c r="A50" s="5" t="n"/>
      <c r="B50" s="11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>
        <v>0</v>
      </c>
      <c r="X50" s="13">
        <f>IF($A50="","",SUM(C50:W50))</f>
        <v/>
      </c>
      <c r="Y50" s="27">
        <f>IF($A50="","",SUMPRODUCT(C50:W50,BREED_SUPERSET!$B$2:$B$22)/100)</f>
        <v/>
      </c>
      <c r="Z50" s="27">
        <f>IF($A50="","",SUMPRODUCT(C50:W50,BREED_SUPERSET!$C$2:$C$22)/100)</f>
        <v/>
      </c>
      <c r="AA50" s="5" t="inlineStr"/>
      <c r="AB50" s="5" t="n"/>
    </row>
    <row r="51">
      <c r="A51" s="5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>
        <v>0</v>
      </c>
      <c r="X51" s="13">
        <f>IF($A51="","",SUM(C51:W51))</f>
        <v/>
      </c>
      <c r="Y51" s="27">
        <f>IF($A51="","",SUMPRODUCT(C51:W51,BREED_SUPERSET!$B$2:$B$22)/100)</f>
        <v/>
      </c>
      <c r="Z51" s="27">
        <f>IF($A51="","",SUMPRODUCT(C51:W51,BREED_SUPERSET!$C$2:$C$22)/100)</f>
        <v/>
      </c>
      <c r="AA51" s="5" t="inlineStr"/>
      <c r="AB51" s="5" t="n"/>
    </row>
    <row r="52">
      <c r="A52" s="5" t="n"/>
      <c r="B52" s="11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>
        <v>0</v>
      </c>
      <c r="X52" s="13">
        <f>IF($A52="","",SUM(C52:W52))</f>
        <v/>
      </c>
      <c r="Y52" s="27">
        <f>IF($A52="","",SUMPRODUCT(C52:W52,BREED_SUPERSET!$B$2:$B$22)/100)</f>
        <v/>
      </c>
      <c r="Z52" s="27">
        <f>IF($A52="","",SUMPRODUCT(C52:W52,BREED_SUPERSET!$C$2:$C$22)/100)</f>
        <v/>
      </c>
      <c r="AA52" s="5" t="inlineStr"/>
      <c r="AB52" s="5" t="n"/>
    </row>
    <row r="53">
      <c r="A53" s="5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>
        <v>0</v>
      </c>
      <c r="X53" s="13">
        <f>IF($A53="","",SUM(C53:W53))</f>
        <v/>
      </c>
      <c r="Y53" s="27">
        <f>IF($A53="","",SUMPRODUCT(C53:W53,BREED_SUPERSET!$B$2:$B$22)/100)</f>
        <v/>
      </c>
      <c r="Z53" s="27">
        <f>IF($A53="","",SUMPRODUCT(C53:W53,BREED_SUPERSET!$C$2:$C$22)/100)</f>
        <v/>
      </c>
      <c r="AA53" s="5" t="inlineStr"/>
      <c r="AB53" s="5" t="n"/>
    </row>
    <row r="54">
      <c r="A54" s="5" t="n"/>
      <c r="B54" s="11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>
        <v>0</v>
      </c>
      <c r="X54" s="13">
        <f>IF($A54="","",SUM(C54:W54))</f>
        <v/>
      </c>
      <c r="Y54" s="27">
        <f>IF($A54="","",SUMPRODUCT(C54:W54,BREED_SUPERSET!$B$2:$B$22)/100)</f>
        <v/>
      </c>
      <c r="Z54" s="27">
        <f>IF($A54="","",SUMPRODUCT(C54:W54,BREED_SUPERSET!$C$2:$C$22)/100)</f>
        <v/>
      </c>
      <c r="AA54" s="5" t="inlineStr"/>
      <c r="AB54" s="5" t="n"/>
    </row>
    <row r="55">
      <c r="A55" s="5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>
        <v>0</v>
      </c>
      <c r="X55" s="13">
        <f>IF($A55="","",SUM(C55:W55))</f>
        <v/>
      </c>
      <c r="Y55" s="27">
        <f>IF($A55="","",SUMPRODUCT(C55:W55,BREED_SUPERSET!$B$2:$B$22)/100)</f>
        <v/>
      </c>
      <c r="Z55" s="27">
        <f>IF($A55="","",SUMPRODUCT(C55:W55,BREED_SUPERSET!$C$2:$C$22)/100)</f>
        <v/>
      </c>
      <c r="AA55" s="5" t="inlineStr"/>
      <c r="AB55" s="5" t="n"/>
    </row>
    <row r="56">
      <c r="A56" s="5" t="n"/>
      <c r="B56" s="11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>
        <v>0</v>
      </c>
      <c r="X56" s="13">
        <f>IF($A56="","",SUM(C56:W56))</f>
        <v/>
      </c>
      <c r="Y56" s="27">
        <f>IF($A56="","",SUMPRODUCT(C56:W56,BREED_SUPERSET!$B$2:$B$22)/100)</f>
        <v/>
      </c>
      <c r="Z56" s="27">
        <f>IF($A56="","",SUMPRODUCT(C56:W56,BREED_SUPERSET!$C$2:$C$22)/100)</f>
        <v/>
      </c>
      <c r="AA56" s="5" t="inlineStr"/>
      <c r="AB56" s="5" t="n"/>
    </row>
    <row r="57">
      <c r="A57" s="5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>
        <v>0</v>
      </c>
      <c r="X57" s="13">
        <f>IF($A57="","",SUM(C57:W57))</f>
        <v/>
      </c>
      <c r="Y57" s="27">
        <f>IF($A57="","",SUMPRODUCT(C57:W57,BREED_SUPERSET!$B$2:$B$22)/100)</f>
        <v/>
      </c>
      <c r="Z57" s="27">
        <f>IF($A57="","",SUMPRODUCT(C57:W57,BREED_SUPERSET!$C$2:$C$22)/100)</f>
        <v/>
      </c>
      <c r="AA57" s="5" t="inlineStr"/>
      <c r="AB57" s="5" t="n"/>
    </row>
    <row r="58">
      <c r="A58" s="5" t="n"/>
      <c r="B58" s="11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>
        <v>0</v>
      </c>
      <c r="X58" s="13">
        <f>IF($A58="","",SUM(C58:W58))</f>
        <v/>
      </c>
      <c r="Y58" s="27">
        <f>IF($A58="","",SUMPRODUCT(C58:W58,BREED_SUPERSET!$B$2:$B$22)/100)</f>
        <v/>
      </c>
      <c r="Z58" s="27">
        <f>IF($A58="","",SUMPRODUCT(C58:W58,BREED_SUPERSET!$C$2:$C$22)/100)</f>
        <v/>
      </c>
      <c r="AA58" s="5" t="inlineStr"/>
      <c r="AB58" s="5" t="n"/>
    </row>
    <row r="59">
      <c r="A59" s="5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>
        <v>0</v>
      </c>
      <c r="X59" s="13">
        <f>IF($A59="","",SUM(C59:W59))</f>
        <v/>
      </c>
      <c r="Y59" s="27">
        <f>IF($A59="","",SUMPRODUCT(C59:W59,BREED_SUPERSET!$B$2:$B$22)/100)</f>
        <v/>
      </c>
      <c r="Z59" s="27">
        <f>IF($A59="","",SUMPRODUCT(C59:W59,BREED_SUPERSET!$C$2:$C$22)/100)</f>
        <v/>
      </c>
      <c r="AA59" s="5" t="inlineStr"/>
      <c r="AB59" s="5" t="n"/>
    </row>
    <row r="60">
      <c r="A60" s="5" t="n"/>
      <c r="B60" s="11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>
        <v>0</v>
      </c>
      <c r="X60" s="13">
        <f>IF($A60="","",SUM(C60:W60))</f>
        <v/>
      </c>
      <c r="Y60" s="27">
        <f>IF($A60="","",SUMPRODUCT(C60:W60,BREED_SUPERSET!$B$2:$B$22)/100)</f>
        <v/>
      </c>
      <c r="Z60" s="27">
        <f>IF($A60="","",SUMPRODUCT(C60:W60,BREED_SUPERSET!$C$2:$C$22)/100)</f>
        <v/>
      </c>
      <c r="AA60" s="5" t="inlineStr"/>
      <c r="AB60" s="5" t="n"/>
    </row>
    <row r="61">
      <c r="A61" s="5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>
        <v>0</v>
      </c>
      <c r="X61" s="13">
        <f>IF($A61="","",SUM(C61:W61))</f>
        <v/>
      </c>
      <c r="Y61" s="27">
        <f>IF($A61="","",SUMPRODUCT(C61:W61,BREED_SUPERSET!$B$2:$B$22)/100)</f>
        <v/>
      </c>
      <c r="Z61" s="27">
        <f>IF($A61="","",SUMPRODUCT(C61:W61,BREED_SUPERSET!$C$2:$C$22)/100)</f>
        <v/>
      </c>
      <c r="AA61" s="5" t="inlineStr"/>
      <c r="AB61" s="5" t="n"/>
    </row>
    <row r="62">
      <c r="A62" t="inlineStr">
        <is>
          <t>TAG_02241</t>
        </is>
      </c>
      <c r="O62" t="n">
        <v>100</v>
      </c>
    </row>
    <row r="63">
      <c r="A63" t="inlineStr">
        <is>
          <t>KAT_X_AWASSI</t>
        </is>
      </c>
      <c r="D63" t="n">
        <v>48</v>
      </c>
      <c r="J63" t="n">
        <v>2</v>
      </c>
      <c r="O63" t="n">
        <v>50</v>
      </c>
    </row>
    <row r="64">
      <c r="A64" t="inlineStr">
        <is>
          <t>OAV_2223_2</t>
        </is>
      </c>
      <c r="O64" t="n">
        <v>100</v>
      </c>
    </row>
    <row r="65">
      <c r="A65" t="inlineStr">
        <is>
          <t>FL51870_0502_PEN_1_2</t>
        </is>
      </c>
      <c r="L65" t="n">
        <v>50</v>
      </c>
      <c r="S65" t="n">
        <v>50</v>
      </c>
    </row>
    <row r="66">
      <c r="A66" t="inlineStr">
        <is>
          <t>OAV_2222_2</t>
        </is>
      </c>
      <c r="O66" t="n">
        <v>100</v>
      </c>
    </row>
    <row r="67">
      <c r="A67" t="inlineStr">
        <is>
          <t>SERENDIPITY</t>
        </is>
      </c>
      <c r="E67" t="n">
        <v>25</v>
      </c>
      <c r="M67" t="n">
        <v>25</v>
      </c>
      <c r="O67" t="n">
        <v>12.5</v>
      </c>
      <c r="Q67" t="n">
        <v>37.5</v>
      </c>
    </row>
    <row r="68">
      <c r="A68" t="inlineStr">
        <is>
          <t>NORI_0029</t>
        </is>
      </c>
      <c r="C68" t="n">
        <v>50</v>
      </c>
      <c r="W68" t="n">
        <v>50</v>
      </c>
    </row>
    <row r="69">
      <c r="A69" t="inlineStr">
        <is>
          <t>ANIMAL</t>
        </is>
      </c>
      <c r="F69" t="n">
        <v>4.6875</v>
      </c>
      <c r="O69" t="n">
        <v>27.325</v>
      </c>
      <c r="Q69" t="n">
        <v>67.96250000000001</v>
      </c>
    </row>
    <row r="70">
      <c r="A70" t="inlineStr">
        <is>
          <t>BANANA</t>
        </is>
      </c>
      <c r="O70" t="n">
        <v>62.5</v>
      </c>
      <c r="Q70" t="n">
        <v>37.5</v>
      </c>
    </row>
    <row r="71">
      <c r="A71" t="inlineStr">
        <is>
          <t>BLACK_SPOT_ON_EAR_DAUGHTER</t>
        </is>
      </c>
      <c r="F71" t="n">
        <v>12.5</v>
      </c>
      <c r="I71" t="n">
        <v>50</v>
      </c>
      <c r="O71" t="n">
        <v>222.875</v>
      </c>
      <c r="Q71" t="n">
        <v>302.125</v>
      </c>
      <c r="V71" t="n">
        <v>6.25</v>
      </c>
    </row>
    <row r="72">
      <c r="A72" t="inlineStr">
        <is>
          <t>CHIPOITLE_SPICY_BOI_BT1</t>
        </is>
      </c>
      <c r="O72" t="n">
        <v>310.75</v>
      </c>
      <c r="Q72" t="n">
        <v>139.25</v>
      </c>
    </row>
    <row r="73">
      <c r="A73" t="inlineStr">
        <is>
          <t>BLACKSPOTONEAR</t>
        </is>
      </c>
      <c r="F73" t="n">
        <v>12.5</v>
      </c>
      <c r="O73" t="n">
        <v>43.75</v>
      </c>
      <c r="Q73" t="n">
        <v>37.5</v>
      </c>
      <c r="V73" t="n">
        <v>6.25</v>
      </c>
    </row>
    <row r="74">
      <c r="A74" t="inlineStr">
        <is>
          <t>THIRD_EWE</t>
        </is>
      </c>
      <c r="I74" t="n">
        <v>50</v>
      </c>
      <c r="O74" t="n">
        <v>214.5625</v>
      </c>
      <c r="Q74" t="n">
        <v>310.4375</v>
      </c>
    </row>
    <row r="75">
      <c r="A75" t="inlineStr">
        <is>
          <t>SMORE</t>
        </is>
      </c>
      <c r="I75" t="n">
        <v>100</v>
      </c>
    </row>
    <row r="76">
      <c r="A76" t="inlineStr">
        <is>
          <t>FM</t>
        </is>
      </c>
      <c r="H76" t="n">
        <v>50</v>
      </c>
      <c r="U76" t="n">
        <v>50</v>
      </c>
    </row>
    <row r="77">
      <c r="A77" t="inlineStr">
        <is>
          <t>FM1</t>
        </is>
      </c>
      <c r="H77" t="n">
        <v>25</v>
      </c>
      <c r="O77" t="n">
        <v>12.5</v>
      </c>
      <c r="Q77" t="n">
        <v>37.5</v>
      </c>
      <c r="U77" t="n">
        <v>25</v>
      </c>
    </row>
    <row r="78">
      <c r="A78" t="inlineStr">
        <is>
          <t>ANIMAL_2</t>
        </is>
      </c>
      <c r="F78" t="n">
        <v>4.6875</v>
      </c>
      <c r="O78" t="n">
        <v>27.325</v>
      </c>
      <c r="Q78" t="n">
        <v>67.96250000000001</v>
      </c>
    </row>
  </sheetData>
  <conditionalFormatting sqref="X2:X61">
    <cfRule type="cellIs" priority="1" operator="notEqual" dxfId="1">
      <formula>100</formula>
    </cfRule>
  </conditionalFormatting>
  <conditionalFormatting sqref="A2:A61">
    <cfRule type="expression" priority="2" dxfId="0">
      <formula>=AND($A2="",SUM($C2:$W2)&gt;0)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36" customWidth="1" min="8" max="8"/>
  </cols>
  <sheetData>
    <row r="1" ht="22" customHeight="1">
      <c r="A1" s="4" t="inlineStr">
        <is>
          <t>Date*</t>
        </is>
      </c>
      <c r="B1" s="4" t="inlineStr">
        <is>
          <t>Year (calc)</t>
        </is>
      </c>
      <c r="C1" s="4" t="inlineStr">
        <is>
          <t>AnimalID*</t>
        </is>
      </c>
      <c r="D1" s="4" t="inlineStr">
        <is>
          <t>Pen (calc)</t>
        </is>
      </c>
      <c r="E1" s="4" t="inlineStr">
        <is>
          <t>Metric*</t>
        </is>
      </c>
      <c r="F1" s="4" t="inlineStr">
        <is>
          <t>Value</t>
        </is>
      </c>
      <c r="G1" s="4" t="inlineStr">
        <is>
          <t>Units</t>
        </is>
      </c>
      <c r="H1" s="4" t="inlineStr">
        <is>
          <t>Notes</t>
        </is>
      </c>
    </row>
    <row r="2">
      <c r="A2" s="6" t="n">
        <v>45175</v>
      </c>
      <c r="B2" s="9">
        <f>IF($A2="","",YEAR($A2))</f>
        <v/>
      </c>
      <c r="C2" s="5" t="inlineStr">
        <is>
          <t>ELSIE</t>
        </is>
      </c>
      <c r="D2" s="9">
        <f>IFERROR(VLOOKUP($C2,ANIMALS!$A$2:$T$61,8,FALSE),"")</f>
        <v/>
      </c>
      <c r="E2" s="5" t="inlineStr">
        <is>
          <t>FAMACHA</t>
        </is>
      </c>
      <c r="F2" s="5" t="n">
        <v>1</v>
      </c>
      <c r="G2" s="5" t="inlineStr">
        <is>
          <t>score</t>
        </is>
      </c>
      <c r="H2" s="5" t="inlineStr">
        <is>
          <t>from paste; pre-lambing record</t>
        </is>
      </c>
    </row>
    <row r="3">
      <c r="A3" s="6" t="n">
        <v>45187</v>
      </c>
      <c r="B3" s="9">
        <f>IF($A3="","",YEAR($A3))</f>
        <v/>
      </c>
      <c r="C3" s="5" t="inlineStr">
        <is>
          <t>ELSIE</t>
        </is>
      </c>
      <c r="D3" s="9">
        <f>IFERROR(VLOOKUP($C3,ANIMALS!$A$2:$T$61,8,FALSE),"")</f>
        <v/>
      </c>
      <c r="E3" s="5" t="inlineStr">
        <is>
          <t>FAMACHA</t>
        </is>
      </c>
      <c r="F3" s="5" t="n">
        <v>1</v>
      </c>
      <c r="G3" s="5" t="inlineStr">
        <is>
          <t>score</t>
        </is>
      </c>
      <c r="H3" s="5" t="inlineStr">
        <is>
          <t>from paste; pre-lambing record</t>
        </is>
      </c>
    </row>
    <row r="4">
      <c r="A4" s="6" t="n">
        <v>46028</v>
      </c>
      <c r="B4" s="9">
        <f>IF($A4="","",YEAR($A4))</f>
        <v/>
      </c>
      <c r="C4" s="5" t="inlineStr">
        <is>
          <t>ELSIE</t>
        </is>
      </c>
      <c r="D4" s="9">
        <f>IFERROR(VLOOKUP($C4,ANIMALS!$A$2:$T$61,8,FALSE),"")</f>
        <v/>
      </c>
      <c r="E4" s="5" t="inlineStr">
        <is>
          <t>FAMACHA</t>
        </is>
      </c>
      <c r="F4" s="5" t="n">
        <v>1</v>
      </c>
      <c r="G4" s="5" t="inlineStr">
        <is>
          <t>score</t>
        </is>
      </c>
      <c r="H4" s="5" t="inlineStr">
        <is>
          <t>triplets born today: 2 white ewe lambs + 1 black ram lamb</t>
        </is>
      </c>
    </row>
    <row r="5">
      <c r="A5" s="6" t="n">
        <v>44975</v>
      </c>
      <c r="B5" s="9">
        <f>IF($A5="","",YEAR($A5))</f>
        <v/>
      </c>
      <c r="C5" s="5" t="inlineStr">
        <is>
          <t>OAV_2223</t>
        </is>
      </c>
      <c r="D5" s="9">
        <f>IFERROR(VLOOKUP($C5,ANIMALS!$A$2:$T$61,8,FALSE),"")</f>
        <v/>
      </c>
      <c r="E5" s="5" t="inlineStr">
        <is>
          <t>FEC</t>
        </is>
      </c>
      <c r="F5" s="5" t="n">
        <v>100</v>
      </c>
      <c r="G5" s="5" t="inlineStr">
        <is>
          <t>eggs/gram</t>
        </is>
      </c>
      <c r="H5" s="5" t="inlineStr">
        <is>
          <t>UF ram test series (paste)</t>
        </is>
      </c>
    </row>
    <row r="6">
      <c r="A6" s="6" t="n">
        <v>45022</v>
      </c>
      <c r="B6" s="9">
        <f>IF($A6="","",YEAR($A6))</f>
        <v/>
      </c>
      <c r="C6" s="5" t="inlineStr">
        <is>
          <t>OAV_2223</t>
        </is>
      </c>
      <c r="D6" s="9">
        <f>IFERROR(VLOOKUP($C6,ANIMALS!$A$2:$T$61,8,FALSE),"")</f>
        <v/>
      </c>
      <c r="E6" s="5" t="inlineStr">
        <is>
          <t>FEC</t>
        </is>
      </c>
      <c r="F6" s="5" t="n">
        <v>300</v>
      </c>
      <c r="G6" s="5" t="inlineStr">
        <is>
          <t>eggs/gram</t>
        </is>
      </c>
      <c r="H6" s="5" t="inlineStr">
        <is>
          <t>UF ram test series (paste)</t>
        </is>
      </c>
    </row>
    <row r="7">
      <c r="A7" s="6" t="n">
        <v>45071</v>
      </c>
      <c r="B7" s="9">
        <f>IF($A7="","",YEAR($A7))</f>
        <v/>
      </c>
      <c r="C7" s="5" t="inlineStr">
        <is>
          <t>OAV_2223</t>
        </is>
      </c>
      <c r="D7" s="9">
        <f>IFERROR(VLOOKUP($C7,ANIMALS!$A$2:$T$61,8,FALSE),"")</f>
        <v/>
      </c>
      <c r="E7" s="5" t="inlineStr">
        <is>
          <t>FEC</t>
        </is>
      </c>
      <c r="F7" s="5" t="n">
        <v>350</v>
      </c>
      <c r="G7" s="5" t="inlineStr">
        <is>
          <t>eggs/gram</t>
        </is>
      </c>
      <c r="H7" s="5" t="inlineStr">
        <is>
          <t>UF ram test series (paste)</t>
        </is>
      </c>
    </row>
    <row r="8">
      <c r="A8" s="6" t="n">
        <v>45092</v>
      </c>
      <c r="B8" s="9">
        <f>IF($A8="","",YEAR($A8))</f>
        <v/>
      </c>
      <c r="C8" s="5" t="inlineStr">
        <is>
          <t>OAV_2223</t>
        </is>
      </c>
      <c r="D8" s="9">
        <f>IFERROR(VLOOKUP($C8,ANIMALS!$A$2:$T$61,8,FALSE),"")</f>
        <v/>
      </c>
      <c r="E8" s="5" t="inlineStr">
        <is>
          <t>FEC</t>
        </is>
      </c>
      <c r="F8" s="5" t="n">
        <v>0</v>
      </c>
      <c r="G8" s="5" t="inlineStr">
        <is>
          <t>eggs/gram</t>
        </is>
      </c>
      <c r="H8" s="5" t="inlineStr">
        <is>
          <t>UF ram test series (paste)</t>
        </is>
      </c>
    </row>
    <row r="9">
      <c r="A9" s="6" t="n">
        <v>45106</v>
      </c>
      <c r="B9" s="9">
        <f>IF($A9="","",YEAR($A9))</f>
        <v/>
      </c>
      <c r="C9" s="5" t="inlineStr">
        <is>
          <t>OAV_2223</t>
        </is>
      </c>
      <c r="D9" s="9">
        <f>IFERROR(VLOOKUP($C9,ANIMALS!$A$2:$T$61,8,FALSE),"")</f>
        <v/>
      </c>
      <c r="E9" s="5" t="inlineStr">
        <is>
          <t>FEC</t>
        </is>
      </c>
      <c r="F9" s="5" t="n">
        <v>0</v>
      </c>
      <c r="G9" s="5" t="inlineStr">
        <is>
          <t>eggs/gram</t>
        </is>
      </c>
      <c r="H9" s="5" t="inlineStr">
        <is>
          <t>UF ram test series (paste)</t>
        </is>
      </c>
    </row>
    <row r="10">
      <c r="A10" s="6" t="n">
        <v>45120</v>
      </c>
      <c r="B10" s="9">
        <f>IF($A10="","",YEAR($A10))</f>
        <v/>
      </c>
      <c r="C10" s="5" t="inlineStr">
        <is>
          <t>OAV_2223</t>
        </is>
      </c>
      <c r="D10" s="9">
        <f>IFERROR(VLOOKUP($C10,ANIMALS!$A$2:$T$61,8,FALSE),"")</f>
        <v/>
      </c>
      <c r="E10" s="5" t="inlineStr">
        <is>
          <t>FEC</t>
        </is>
      </c>
      <c r="F10" s="5" t="n">
        <v>50</v>
      </c>
      <c r="G10" s="5" t="inlineStr">
        <is>
          <t>eggs/gram</t>
        </is>
      </c>
      <c r="H10" s="5" t="inlineStr">
        <is>
          <t>UF ram test series (paste)</t>
        </is>
      </c>
    </row>
    <row r="11">
      <c r="A11" s="6" t="n">
        <v>45134</v>
      </c>
      <c r="B11" s="9">
        <f>IF($A11="","",YEAR($A11))</f>
        <v/>
      </c>
      <c r="C11" s="5" t="inlineStr">
        <is>
          <t>OAV_2223</t>
        </is>
      </c>
      <c r="D11" s="9">
        <f>IFERROR(VLOOKUP($C11,ANIMALS!$A$2:$T$61,8,FALSE),"")</f>
        <v/>
      </c>
      <c r="E11" s="5" t="inlineStr">
        <is>
          <t>FEC</t>
        </is>
      </c>
      <c r="F11" s="5" t="n">
        <v>200</v>
      </c>
      <c r="G11" s="5" t="inlineStr">
        <is>
          <t>eggs/gram</t>
        </is>
      </c>
      <c r="H11" s="5" t="inlineStr">
        <is>
          <t>UF ram test series (paste)</t>
        </is>
      </c>
    </row>
    <row r="12">
      <c r="A12" s="6" t="n">
        <v>45148</v>
      </c>
      <c r="B12" s="9">
        <f>IF($A12="","",YEAR($A12))</f>
        <v/>
      </c>
      <c r="C12" s="5" t="inlineStr">
        <is>
          <t>OAV_2223</t>
        </is>
      </c>
      <c r="D12" s="9">
        <f>IFERROR(VLOOKUP($C12,ANIMALS!$A$2:$T$61,8,FALSE),"")</f>
        <v/>
      </c>
      <c r="E12" s="5" t="inlineStr">
        <is>
          <t>FEC</t>
        </is>
      </c>
      <c r="F12" s="5" t="n">
        <v>50</v>
      </c>
      <c r="G12" s="5" t="inlineStr">
        <is>
          <t>eggs/gram</t>
        </is>
      </c>
      <c r="H12" s="5" t="inlineStr">
        <is>
          <t>UF ram test series (paste)</t>
        </is>
      </c>
    </row>
    <row r="13">
      <c r="A13" s="6" t="n">
        <v>45162</v>
      </c>
      <c r="B13" s="9">
        <f>IF($A13="","",YEAR($A13))</f>
        <v/>
      </c>
      <c r="C13" s="5" t="inlineStr">
        <is>
          <t>OAV_2223</t>
        </is>
      </c>
      <c r="D13" s="9">
        <f>IFERROR(VLOOKUP($C13,ANIMALS!$A$2:$T$61,8,FALSE),"")</f>
        <v/>
      </c>
      <c r="E13" s="5" t="inlineStr">
        <is>
          <t>FEC</t>
        </is>
      </c>
      <c r="F13" s="5" t="n">
        <v>200</v>
      </c>
      <c r="G13" s="5" t="inlineStr">
        <is>
          <t>eggs/gram</t>
        </is>
      </c>
      <c r="H13" s="5" t="inlineStr">
        <is>
          <t>UF ram test series (paste)</t>
        </is>
      </c>
    </row>
    <row r="14">
      <c r="A14" s="6" t="n">
        <v>44975</v>
      </c>
      <c r="B14" s="9">
        <f>IF($A14="","",YEAR($A14))</f>
        <v/>
      </c>
      <c r="C14" s="5" t="inlineStr">
        <is>
          <t>OAV_2223</t>
        </is>
      </c>
      <c r="D14" s="9">
        <f>IFERROR(VLOOKUP($C14,ANIMALS!$A$2:$T$61,8,FALSE),"")</f>
        <v/>
      </c>
      <c r="E14" s="5" t="inlineStr">
        <is>
          <t>ADG</t>
        </is>
      </c>
      <c r="F14" s="5" t="n">
        <v>0.36</v>
      </c>
      <c r="G14" s="5" t="inlineStr">
        <is>
          <t>lb/day</t>
        </is>
      </c>
      <c r="H14" s="5" t="inlineStr">
        <is>
          <t>UF ram test (paste)</t>
        </is>
      </c>
    </row>
    <row r="15">
      <c r="A15" s="6" t="n">
        <v>44975</v>
      </c>
      <c r="B15" s="9">
        <f>IF($A15="","",YEAR($A15))</f>
        <v/>
      </c>
      <c r="C15" s="5" t="inlineStr">
        <is>
          <t>OAV_2223</t>
        </is>
      </c>
      <c r="D15" s="9">
        <f>IFERROR(VLOOKUP($C15,ANIMALS!$A$2:$T$61,8,FALSE),"")</f>
        <v/>
      </c>
      <c r="E15" s="5" t="inlineStr">
        <is>
          <t>WDA</t>
        </is>
      </c>
      <c r="F15" s="5" t="n">
        <v>0.51</v>
      </c>
      <c r="G15" s="5" t="inlineStr">
        <is>
          <t>lb/day</t>
        </is>
      </c>
      <c r="H15" s="5" t="inlineStr">
        <is>
          <t>UF ram test (paste)</t>
        </is>
      </c>
    </row>
    <row r="16">
      <c r="A16" s="6" t="n">
        <v>44975</v>
      </c>
      <c r="B16" s="9">
        <f>IF($A16="","",YEAR($A16))</f>
        <v/>
      </c>
      <c r="C16" s="5" t="inlineStr">
        <is>
          <t>OAV_2223</t>
        </is>
      </c>
      <c r="D16" s="9">
        <f>IFERROR(VLOOKUP($C16,ANIMALS!$A$2:$T$61,8,FALSE),"")</f>
        <v/>
      </c>
      <c r="E16" s="5" t="inlineStr">
        <is>
          <t>UF_INDEX</t>
        </is>
      </c>
      <c r="F16" s="5" t="n">
        <v>157</v>
      </c>
      <c r="G16" s="5" t="inlineStr">
        <is>
          <t>index</t>
        </is>
      </c>
      <c r="H16" s="5" t="inlineStr">
        <is>
          <t>UF ram test (paste)</t>
        </is>
      </c>
    </row>
    <row r="17">
      <c r="A17" s="6" t="n">
        <v>44975</v>
      </c>
      <c r="B17" s="9">
        <f>IF($A17="","",YEAR($A17))</f>
        <v/>
      </c>
      <c r="C17" s="5" t="inlineStr">
        <is>
          <t>OAV_2223</t>
        </is>
      </c>
      <c r="D17" s="9">
        <f>IFERROR(VLOOKUP($C17,ANIMALS!$A$2:$T$61,8,FALSE),"")</f>
        <v/>
      </c>
      <c r="E17" s="5" t="inlineStr">
        <is>
          <t>AVG_FEC</t>
        </is>
      </c>
      <c r="F17" s="5" t="n">
        <v>138.8888889</v>
      </c>
      <c r="G17" s="5" t="inlineStr">
        <is>
          <t>eggs/gram</t>
        </is>
      </c>
      <c r="H17" s="5" t="inlineStr">
        <is>
          <t>Average across all UF tests (paste)</t>
        </is>
      </c>
    </row>
    <row r="18">
      <c r="A18" s="6" t="n"/>
      <c r="B18" s="9">
        <f>IF($A18="","",YEAR($A18))</f>
        <v/>
      </c>
      <c r="C18" s="5" t="n"/>
      <c r="D18" s="9">
        <f>IFERROR(VLOOKUP($C18,ANIMALS!$A$2:$T$61,8,FALSE),"")</f>
        <v/>
      </c>
      <c r="E18" s="5" t="n"/>
      <c r="F18" s="5" t="n"/>
      <c r="G18" s="5" t="n"/>
      <c r="H18" s="5" t="n"/>
    </row>
    <row r="19">
      <c r="A19" s="6" t="n"/>
      <c r="B19" s="9">
        <f>IF($A19="","",YEAR($A19))</f>
        <v/>
      </c>
      <c r="C19" s="5" t="n"/>
      <c r="D19" s="9">
        <f>IFERROR(VLOOKUP($C19,ANIMALS!$A$2:$T$61,8,FALSE),"")</f>
        <v/>
      </c>
      <c r="E19" s="5" t="n"/>
      <c r="F19" s="5" t="n"/>
      <c r="G19" s="5" t="n"/>
      <c r="H19" s="5" t="n"/>
    </row>
    <row r="20">
      <c r="A20" s="6" t="n"/>
      <c r="B20" s="9">
        <f>IF($A20="","",YEAR($A20))</f>
        <v/>
      </c>
      <c r="C20" s="5" t="n"/>
      <c r="D20" s="9">
        <f>IFERROR(VLOOKUP($C20,ANIMALS!$A$2:$T$61,8,FALSE),"")</f>
        <v/>
      </c>
      <c r="E20" s="5" t="n"/>
      <c r="F20" s="5" t="n"/>
      <c r="G20" s="5" t="n"/>
      <c r="H20" s="5" t="n"/>
    </row>
    <row r="21">
      <c r="A21" s="6" t="n"/>
      <c r="B21" s="9">
        <f>IF($A21="","",YEAR($A21))</f>
        <v/>
      </c>
      <c r="C21" s="5" t="n"/>
      <c r="D21" s="9">
        <f>IFERROR(VLOOKUP($C21,ANIMALS!$A$2:$T$61,8,FALSE),"")</f>
        <v/>
      </c>
      <c r="E21" s="5" t="n"/>
      <c r="F21" s="5" t="n"/>
      <c r="G21" s="5" t="n"/>
      <c r="H21" s="5" t="n"/>
    </row>
    <row r="22">
      <c r="A22" s="6" t="n"/>
      <c r="B22" s="9">
        <f>IF($A22="","",YEAR($A22))</f>
        <v/>
      </c>
      <c r="C22" s="5" t="n"/>
      <c r="D22" s="9">
        <f>IFERROR(VLOOKUP($C22,ANIMALS!$A$2:$T$61,8,FALSE),"")</f>
        <v/>
      </c>
      <c r="E22" s="5" t="n"/>
      <c r="F22" s="5" t="n"/>
      <c r="G22" s="5" t="n"/>
      <c r="H22" s="5" t="n"/>
    </row>
    <row r="23">
      <c r="A23" s="6" t="n"/>
      <c r="B23" s="9">
        <f>IF($A23="","",YEAR($A23))</f>
        <v/>
      </c>
      <c r="C23" s="5" t="n"/>
      <c r="D23" s="9">
        <f>IFERROR(VLOOKUP($C23,ANIMALS!$A$2:$T$61,8,FALSE),"")</f>
        <v/>
      </c>
      <c r="E23" s="5" t="n"/>
      <c r="F23" s="5" t="n"/>
      <c r="G23" s="5" t="n"/>
      <c r="H23" s="5" t="n"/>
    </row>
    <row r="24">
      <c r="A24" s="6" t="n"/>
      <c r="B24" s="9">
        <f>IF($A24="","",YEAR($A24))</f>
        <v/>
      </c>
      <c r="C24" s="5" t="n"/>
      <c r="D24" s="9">
        <f>IFERROR(VLOOKUP($C24,ANIMALS!$A$2:$T$61,8,FALSE),"")</f>
        <v/>
      </c>
      <c r="E24" s="5" t="n"/>
      <c r="F24" s="5" t="n"/>
      <c r="G24" s="5" t="n"/>
      <c r="H24" s="5" t="n"/>
    </row>
    <row r="25">
      <c r="A25" s="6" t="n"/>
      <c r="B25" s="9">
        <f>IF($A25="","",YEAR($A25))</f>
        <v/>
      </c>
      <c r="C25" s="5" t="n"/>
      <c r="D25" s="9">
        <f>IFERROR(VLOOKUP($C25,ANIMALS!$A$2:$T$61,8,FALSE),"")</f>
        <v/>
      </c>
      <c r="E25" s="5" t="n"/>
      <c r="F25" s="5" t="n"/>
      <c r="G25" s="5" t="n"/>
      <c r="H25" s="5" t="n"/>
    </row>
    <row r="26">
      <c r="A26" s="6" t="n"/>
      <c r="B26" s="9">
        <f>IF($A26="","",YEAR($A26))</f>
        <v/>
      </c>
      <c r="C26" s="5" t="n"/>
      <c r="D26" s="9">
        <f>IFERROR(VLOOKUP($C26,ANIMALS!$A$2:$T$61,8,FALSE),"")</f>
        <v/>
      </c>
      <c r="E26" s="5" t="n"/>
      <c r="F26" s="5" t="n"/>
      <c r="G26" s="5" t="n"/>
      <c r="H26" s="5" t="n"/>
    </row>
    <row r="27">
      <c r="A27" s="6" t="n"/>
      <c r="B27" s="9">
        <f>IF($A27="","",YEAR($A27))</f>
        <v/>
      </c>
      <c r="C27" s="5" t="n"/>
      <c r="D27" s="9">
        <f>IFERROR(VLOOKUP($C27,ANIMALS!$A$2:$T$61,8,FALSE),"")</f>
        <v/>
      </c>
      <c r="E27" s="5" t="n"/>
      <c r="F27" s="5" t="n"/>
      <c r="G27" s="5" t="n"/>
      <c r="H27" s="5" t="n"/>
    </row>
    <row r="28">
      <c r="A28" s="6" t="n"/>
      <c r="B28" s="9">
        <f>IF($A28="","",YEAR($A28))</f>
        <v/>
      </c>
      <c r="C28" s="5" t="n"/>
      <c r="D28" s="9">
        <f>IFERROR(VLOOKUP($C28,ANIMALS!$A$2:$T$61,8,FALSE),"")</f>
        <v/>
      </c>
      <c r="E28" s="5" t="n"/>
      <c r="F28" s="5" t="n"/>
      <c r="G28" s="5" t="n"/>
      <c r="H28" s="5" t="n"/>
    </row>
    <row r="29">
      <c r="A29" s="6" t="n"/>
      <c r="B29" s="9">
        <f>IF($A29="","",YEAR($A29))</f>
        <v/>
      </c>
      <c r="C29" s="5" t="n"/>
      <c r="D29" s="9">
        <f>IFERROR(VLOOKUP($C29,ANIMALS!$A$2:$T$61,8,FALSE),"")</f>
        <v/>
      </c>
      <c r="E29" s="5" t="n"/>
      <c r="F29" s="5" t="n"/>
      <c r="G29" s="5" t="n"/>
      <c r="H29" s="5" t="n"/>
    </row>
    <row r="30">
      <c r="A30" s="6" t="n"/>
      <c r="B30" s="9">
        <f>IF($A30="","",YEAR($A30))</f>
        <v/>
      </c>
      <c r="C30" s="5" t="n"/>
      <c r="D30" s="9">
        <f>IFERROR(VLOOKUP($C30,ANIMALS!$A$2:$T$61,8,FALSE),"")</f>
        <v/>
      </c>
      <c r="E30" s="5" t="n"/>
      <c r="F30" s="5" t="n"/>
      <c r="G30" s="5" t="n"/>
      <c r="H30" s="5" t="n"/>
    </row>
    <row r="31">
      <c r="A31" s="6" t="n"/>
      <c r="B31" s="9">
        <f>IF($A31="","",YEAR($A31))</f>
        <v/>
      </c>
      <c r="C31" s="5" t="n"/>
      <c r="D31" s="9">
        <f>IFERROR(VLOOKUP($C31,ANIMALS!$A$2:$T$61,8,FALSE),"")</f>
        <v/>
      </c>
      <c r="E31" s="5" t="n"/>
      <c r="F31" s="5" t="n"/>
      <c r="G31" s="5" t="n"/>
      <c r="H31" s="5" t="n"/>
    </row>
    <row r="32">
      <c r="A32" s="6" t="n"/>
      <c r="B32" s="9">
        <f>IF($A32="","",YEAR($A32))</f>
        <v/>
      </c>
      <c r="C32" s="5" t="n"/>
      <c r="D32" s="9">
        <f>IFERROR(VLOOKUP($C32,ANIMALS!$A$2:$T$61,8,FALSE),"")</f>
        <v/>
      </c>
      <c r="E32" s="5" t="n"/>
      <c r="F32" s="5" t="n"/>
      <c r="G32" s="5" t="n"/>
      <c r="H32" s="5" t="n"/>
    </row>
    <row r="33">
      <c r="A33" s="6" t="n"/>
      <c r="B33" s="9">
        <f>IF($A33="","",YEAR($A33))</f>
        <v/>
      </c>
      <c r="C33" s="5" t="n"/>
      <c r="D33" s="9">
        <f>IFERROR(VLOOKUP($C33,ANIMALS!$A$2:$T$61,8,FALSE),"")</f>
        <v/>
      </c>
      <c r="E33" s="5" t="n"/>
      <c r="F33" s="5" t="n"/>
      <c r="G33" s="5" t="n"/>
      <c r="H33" s="5" t="n"/>
    </row>
    <row r="34">
      <c r="A34" s="6" t="n"/>
      <c r="B34" s="9">
        <f>IF($A34="","",YEAR($A34))</f>
        <v/>
      </c>
      <c r="C34" s="5" t="n"/>
      <c r="D34" s="9">
        <f>IFERROR(VLOOKUP($C34,ANIMALS!$A$2:$T$61,8,FALSE),"")</f>
        <v/>
      </c>
      <c r="E34" s="5" t="n"/>
      <c r="F34" s="5" t="n"/>
      <c r="G34" s="5" t="n"/>
      <c r="H34" s="5" t="n"/>
    </row>
    <row r="35">
      <c r="A35" s="6" t="n"/>
      <c r="B35" s="9">
        <f>IF($A35="","",YEAR($A35))</f>
        <v/>
      </c>
      <c r="C35" s="5" t="n"/>
      <c r="D35" s="9">
        <f>IFERROR(VLOOKUP($C35,ANIMALS!$A$2:$T$61,8,FALSE),"")</f>
        <v/>
      </c>
      <c r="E35" s="5" t="n"/>
      <c r="F35" s="5" t="n"/>
      <c r="G35" s="5" t="n"/>
      <c r="H35" s="5" t="n"/>
    </row>
    <row r="36">
      <c r="A36" s="6" t="n"/>
      <c r="B36" s="9">
        <f>IF($A36="","",YEAR($A36))</f>
        <v/>
      </c>
      <c r="C36" s="5" t="n"/>
      <c r="D36" s="9">
        <f>IFERROR(VLOOKUP($C36,ANIMALS!$A$2:$T$61,8,FALSE),"")</f>
        <v/>
      </c>
      <c r="E36" s="5" t="n"/>
      <c r="F36" s="5" t="n"/>
      <c r="G36" s="5" t="n"/>
      <c r="H36" s="5" t="n"/>
    </row>
    <row r="37">
      <c r="A37" s="6" t="n"/>
      <c r="B37" s="9">
        <f>IF($A37="","",YEAR($A37))</f>
        <v/>
      </c>
      <c r="C37" s="5" t="n"/>
      <c r="D37" s="9">
        <f>IFERROR(VLOOKUP($C37,ANIMALS!$A$2:$T$61,8,FALSE),"")</f>
        <v/>
      </c>
      <c r="E37" s="5" t="n"/>
      <c r="F37" s="5" t="n"/>
      <c r="G37" s="5" t="n"/>
      <c r="H37" s="5" t="n"/>
    </row>
    <row r="38">
      <c r="A38" s="6" t="n"/>
      <c r="B38" s="9">
        <f>IF($A38="","",YEAR($A38))</f>
        <v/>
      </c>
      <c r="C38" s="5" t="n"/>
      <c r="D38" s="9">
        <f>IFERROR(VLOOKUP($C38,ANIMALS!$A$2:$T$61,8,FALSE),"")</f>
        <v/>
      </c>
      <c r="E38" s="5" t="n"/>
      <c r="F38" s="5" t="n"/>
      <c r="G38" s="5" t="n"/>
      <c r="H38" s="5" t="n"/>
    </row>
    <row r="39">
      <c r="A39" s="6" t="n"/>
      <c r="B39" s="9">
        <f>IF($A39="","",YEAR($A39))</f>
        <v/>
      </c>
      <c r="C39" s="5" t="n"/>
      <c r="D39" s="9">
        <f>IFERROR(VLOOKUP($C39,ANIMALS!$A$2:$T$61,8,FALSE),"")</f>
        <v/>
      </c>
      <c r="E39" s="5" t="n"/>
      <c r="F39" s="5" t="n"/>
      <c r="G39" s="5" t="n"/>
      <c r="H39" s="5" t="n"/>
    </row>
    <row r="40">
      <c r="A40" s="6" t="n"/>
      <c r="B40" s="9">
        <f>IF($A40="","",YEAR($A40))</f>
        <v/>
      </c>
      <c r="C40" s="5" t="n"/>
      <c r="D40" s="9">
        <f>IFERROR(VLOOKUP($C40,ANIMALS!$A$2:$T$61,8,FALSE),"")</f>
        <v/>
      </c>
      <c r="E40" s="5" t="n"/>
      <c r="F40" s="5" t="n"/>
      <c r="G40" s="5" t="n"/>
      <c r="H40" s="5" t="n"/>
    </row>
    <row r="41">
      <c r="A41" s="6" t="n"/>
      <c r="B41" s="9">
        <f>IF($A41="","",YEAR($A41))</f>
        <v/>
      </c>
      <c r="C41" s="5" t="n"/>
      <c r="D41" s="9">
        <f>IFERROR(VLOOKUP($C41,ANIMALS!$A$2:$T$61,8,FALSE),"")</f>
        <v/>
      </c>
      <c r="E41" s="5" t="n"/>
      <c r="F41" s="5" t="n"/>
      <c r="G41" s="5" t="n"/>
      <c r="H41" s="5" t="n"/>
    </row>
    <row r="42">
      <c r="A42" s="6" t="n"/>
      <c r="B42" s="9">
        <f>IF($A42="","",YEAR($A42))</f>
        <v/>
      </c>
      <c r="C42" s="5" t="n"/>
      <c r="D42" s="9">
        <f>IFERROR(VLOOKUP($C42,ANIMALS!$A$2:$T$61,8,FALSE),"")</f>
        <v/>
      </c>
      <c r="E42" s="5" t="n"/>
      <c r="F42" s="5" t="n"/>
      <c r="G42" s="5" t="n"/>
      <c r="H42" s="5" t="n"/>
    </row>
    <row r="43">
      <c r="A43" s="6" t="n"/>
      <c r="B43" s="9">
        <f>IF($A43="","",YEAR($A43))</f>
        <v/>
      </c>
      <c r="C43" s="5" t="n"/>
      <c r="D43" s="9">
        <f>IFERROR(VLOOKUP($C43,ANIMALS!$A$2:$T$61,8,FALSE),"")</f>
        <v/>
      </c>
      <c r="E43" s="5" t="n"/>
      <c r="F43" s="5" t="n"/>
      <c r="G43" s="5" t="n"/>
      <c r="H43" s="5" t="n"/>
    </row>
    <row r="44">
      <c r="A44" s="6" t="n"/>
      <c r="B44" s="9">
        <f>IF($A44="","",YEAR($A44))</f>
        <v/>
      </c>
      <c r="C44" s="5" t="n"/>
      <c r="D44" s="9">
        <f>IFERROR(VLOOKUP($C44,ANIMALS!$A$2:$T$61,8,FALSE),"")</f>
        <v/>
      </c>
      <c r="E44" s="5" t="n"/>
      <c r="F44" s="5" t="n"/>
      <c r="G44" s="5" t="n"/>
      <c r="H44" s="5" t="n"/>
    </row>
    <row r="45">
      <c r="A45" s="6" t="n"/>
      <c r="B45" s="9">
        <f>IF($A45="","",YEAR($A45))</f>
        <v/>
      </c>
      <c r="C45" s="5" t="n"/>
      <c r="D45" s="9">
        <f>IFERROR(VLOOKUP($C45,ANIMALS!$A$2:$T$61,8,FALSE),"")</f>
        <v/>
      </c>
      <c r="E45" s="5" t="n"/>
      <c r="F45" s="5" t="n"/>
      <c r="G45" s="5" t="n"/>
      <c r="H45" s="5" t="n"/>
    </row>
    <row r="46">
      <c r="A46" s="6" t="n"/>
      <c r="B46" s="9">
        <f>IF($A46="","",YEAR($A46))</f>
        <v/>
      </c>
      <c r="C46" s="5" t="n"/>
      <c r="D46" s="9">
        <f>IFERROR(VLOOKUP($C46,ANIMALS!$A$2:$T$61,8,FALSE),"")</f>
        <v/>
      </c>
      <c r="E46" s="5" t="n"/>
      <c r="F46" s="5" t="n"/>
      <c r="G46" s="5" t="n"/>
      <c r="H46" s="5" t="n"/>
    </row>
    <row r="47">
      <c r="A47" s="6" t="n"/>
      <c r="B47" s="9">
        <f>IF($A47="","",YEAR($A47))</f>
        <v/>
      </c>
      <c r="C47" s="5" t="n"/>
      <c r="D47" s="9">
        <f>IFERROR(VLOOKUP($C47,ANIMALS!$A$2:$T$61,8,FALSE),"")</f>
        <v/>
      </c>
      <c r="E47" s="5" t="n"/>
      <c r="F47" s="5" t="n"/>
      <c r="G47" s="5" t="n"/>
      <c r="H47" s="5" t="n"/>
    </row>
    <row r="48">
      <c r="A48" s="6" t="n"/>
      <c r="B48" s="9">
        <f>IF($A48="","",YEAR($A48))</f>
        <v/>
      </c>
      <c r="C48" s="5" t="n"/>
      <c r="D48" s="9">
        <f>IFERROR(VLOOKUP($C48,ANIMALS!$A$2:$T$61,8,FALSE),"")</f>
        <v/>
      </c>
      <c r="E48" s="5" t="n"/>
      <c r="F48" s="5" t="n"/>
      <c r="G48" s="5" t="n"/>
      <c r="H48" s="5" t="n"/>
    </row>
    <row r="49">
      <c r="A49" s="6" t="n"/>
      <c r="B49" s="9">
        <f>IF($A49="","",YEAR($A49))</f>
        <v/>
      </c>
      <c r="C49" s="5" t="n"/>
      <c r="D49" s="9">
        <f>IFERROR(VLOOKUP($C49,ANIMALS!$A$2:$T$61,8,FALSE),"")</f>
        <v/>
      </c>
      <c r="E49" s="5" t="n"/>
      <c r="F49" s="5" t="n"/>
      <c r="G49" s="5" t="n"/>
      <c r="H49" s="5" t="n"/>
    </row>
    <row r="50">
      <c r="A50" s="6" t="n"/>
      <c r="B50" s="9">
        <f>IF($A50="","",YEAR($A50))</f>
        <v/>
      </c>
      <c r="C50" s="5" t="n"/>
      <c r="D50" s="9">
        <f>IFERROR(VLOOKUP($C50,ANIMALS!$A$2:$T$61,8,FALSE),"")</f>
        <v/>
      </c>
      <c r="E50" s="5" t="n"/>
      <c r="F50" s="5" t="n"/>
      <c r="G50" s="5" t="n"/>
      <c r="H50" s="5" t="n"/>
    </row>
    <row r="51">
      <c r="A51" s="6" t="n"/>
      <c r="B51" s="9">
        <f>IF($A51="","",YEAR($A51))</f>
        <v/>
      </c>
      <c r="C51" s="5" t="n"/>
      <c r="D51" s="9">
        <f>IFERROR(VLOOKUP($C51,ANIMALS!$A$2:$T$61,8,FALSE),"")</f>
        <v/>
      </c>
      <c r="E51" s="5" t="n"/>
      <c r="F51" s="5" t="n"/>
      <c r="G51" s="5" t="n"/>
      <c r="H51" s="5" t="n"/>
    </row>
    <row r="52">
      <c r="A52" s="6" t="n"/>
      <c r="B52" s="9">
        <f>IF($A52="","",YEAR($A52))</f>
        <v/>
      </c>
      <c r="C52" s="5" t="n"/>
      <c r="D52" s="9">
        <f>IFERROR(VLOOKUP($C52,ANIMALS!$A$2:$T$61,8,FALSE),"")</f>
        <v/>
      </c>
      <c r="E52" s="5" t="n"/>
      <c r="F52" s="5" t="n"/>
      <c r="G52" s="5" t="n"/>
      <c r="H52" s="5" t="n"/>
    </row>
    <row r="53">
      <c r="A53" s="6" t="n"/>
      <c r="B53" s="9">
        <f>IF($A53="","",YEAR($A53))</f>
        <v/>
      </c>
      <c r="C53" s="5" t="n"/>
      <c r="D53" s="9">
        <f>IFERROR(VLOOKUP($C53,ANIMALS!$A$2:$T$61,8,FALSE),"")</f>
        <v/>
      </c>
      <c r="E53" s="5" t="n"/>
      <c r="F53" s="5" t="n"/>
      <c r="G53" s="5" t="n"/>
      <c r="H53" s="5" t="n"/>
    </row>
    <row r="54">
      <c r="A54" s="6" t="n"/>
      <c r="B54" s="9">
        <f>IF($A54="","",YEAR($A54))</f>
        <v/>
      </c>
      <c r="C54" s="5" t="n"/>
      <c r="D54" s="9">
        <f>IFERROR(VLOOKUP($C54,ANIMALS!$A$2:$T$61,8,FALSE),"")</f>
        <v/>
      </c>
      <c r="E54" s="5" t="n"/>
      <c r="F54" s="5" t="n"/>
      <c r="G54" s="5" t="n"/>
      <c r="H54" s="5" t="n"/>
    </row>
    <row r="55">
      <c r="A55" s="6" t="n"/>
      <c r="B55" s="9">
        <f>IF($A55="","",YEAR($A55))</f>
        <v/>
      </c>
      <c r="C55" s="5" t="n"/>
      <c r="D55" s="9">
        <f>IFERROR(VLOOKUP($C55,ANIMALS!$A$2:$T$61,8,FALSE),"")</f>
        <v/>
      </c>
      <c r="E55" s="5" t="n"/>
      <c r="F55" s="5" t="n"/>
      <c r="G55" s="5" t="n"/>
      <c r="H55" s="5" t="n"/>
    </row>
    <row r="56">
      <c r="A56" s="6" t="n"/>
      <c r="B56" s="9">
        <f>IF($A56="","",YEAR($A56))</f>
        <v/>
      </c>
      <c r="C56" s="5" t="n"/>
      <c r="D56" s="9">
        <f>IFERROR(VLOOKUP($C56,ANIMALS!$A$2:$T$61,8,FALSE),"")</f>
        <v/>
      </c>
      <c r="E56" s="5" t="n"/>
      <c r="F56" s="5" t="n"/>
      <c r="G56" s="5" t="n"/>
      <c r="H56" s="5" t="n"/>
    </row>
    <row r="57">
      <c r="A57" s="6" t="n"/>
      <c r="B57" s="9">
        <f>IF($A57="","",YEAR($A57))</f>
        <v/>
      </c>
      <c r="C57" s="5" t="n"/>
      <c r="D57" s="9">
        <f>IFERROR(VLOOKUP($C57,ANIMALS!$A$2:$T$61,8,FALSE),"")</f>
        <v/>
      </c>
      <c r="E57" s="5" t="n"/>
      <c r="F57" s="5" t="n"/>
      <c r="G57" s="5" t="n"/>
      <c r="H57" s="5" t="n"/>
    </row>
    <row r="58">
      <c r="A58" s="6" t="n"/>
      <c r="B58" s="9">
        <f>IF($A58="","",YEAR($A58))</f>
        <v/>
      </c>
      <c r="C58" s="5" t="n"/>
      <c r="D58" s="9">
        <f>IFERROR(VLOOKUP($C58,ANIMALS!$A$2:$T$61,8,FALSE),"")</f>
        <v/>
      </c>
      <c r="E58" s="5" t="n"/>
      <c r="F58" s="5" t="n"/>
      <c r="G58" s="5" t="n"/>
      <c r="H58" s="5" t="n"/>
    </row>
    <row r="59">
      <c r="A59" s="6" t="n"/>
      <c r="B59" s="9">
        <f>IF($A59="","",YEAR($A59))</f>
        <v/>
      </c>
      <c r="C59" s="5" t="n"/>
      <c r="D59" s="9">
        <f>IFERROR(VLOOKUP($C59,ANIMALS!$A$2:$T$61,8,FALSE),"")</f>
        <v/>
      </c>
      <c r="E59" s="5" t="n"/>
      <c r="F59" s="5" t="n"/>
      <c r="G59" s="5" t="n"/>
      <c r="H59" s="5" t="n"/>
    </row>
    <row r="60">
      <c r="A60" s="6" t="n"/>
      <c r="B60" s="9">
        <f>IF($A60="","",YEAR($A60))</f>
        <v/>
      </c>
      <c r="C60" s="5" t="n"/>
      <c r="D60" s="9">
        <f>IFERROR(VLOOKUP($C60,ANIMALS!$A$2:$T$61,8,FALSE),"")</f>
        <v/>
      </c>
      <c r="E60" s="5" t="n"/>
      <c r="F60" s="5" t="n"/>
      <c r="G60" s="5" t="n"/>
      <c r="H60" s="5" t="n"/>
    </row>
    <row r="61">
      <c r="A61" s="6" t="n"/>
      <c r="B61" s="9">
        <f>IF($A61="","",YEAR($A61))</f>
        <v/>
      </c>
      <c r="C61" s="5" t="n"/>
      <c r="D61" s="9">
        <f>IFERROR(VLOOKUP($C61,ANIMALS!$A$2:$T$61,8,FALSE),"")</f>
        <v/>
      </c>
      <c r="E61" s="5" t="n"/>
      <c r="F61" s="5" t="n"/>
      <c r="G61" s="5" t="n"/>
      <c r="H61" s="5" t="n"/>
    </row>
    <row r="62">
      <c r="A62" s="6" t="n"/>
      <c r="B62" s="9">
        <f>IF($A62="","",YEAR($A62))</f>
        <v/>
      </c>
      <c r="C62" s="5" t="n"/>
      <c r="D62" s="9">
        <f>IFERROR(VLOOKUP($C62,ANIMALS!$A$2:$T$61,8,FALSE),"")</f>
        <v/>
      </c>
      <c r="E62" s="5" t="n"/>
      <c r="F62" s="5" t="n"/>
      <c r="G62" s="5" t="n"/>
      <c r="H62" s="5" t="n"/>
    </row>
    <row r="63">
      <c r="A63" s="6" t="n"/>
      <c r="B63" s="9">
        <f>IF($A63="","",YEAR($A63))</f>
        <v/>
      </c>
      <c r="C63" s="5" t="n"/>
      <c r="D63" s="9">
        <f>IFERROR(VLOOKUP($C63,ANIMALS!$A$2:$T$61,8,FALSE),"")</f>
        <v/>
      </c>
      <c r="E63" s="5" t="n"/>
      <c r="F63" s="5" t="n"/>
      <c r="G63" s="5" t="n"/>
      <c r="H63" s="5" t="n"/>
    </row>
    <row r="64">
      <c r="A64" s="6" t="n"/>
      <c r="B64" s="9">
        <f>IF($A64="","",YEAR($A64))</f>
        <v/>
      </c>
      <c r="C64" s="5" t="n"/>
      <c r="D64" s="9">
        <f>IFERROR(VLOOKUP($C64,ANIMALS!$A$2:$T$61,8,FALSE),"")</f>
        <v/>
      </c>
      <c r="E64" s="5" t="n"/>
      <c r="F64" s="5" t="n"/>
      <c r="G64" s="5" t="n"/>
      <c r="H64" s="5" t="n"/>
    </row>
    <row r="65">
      <c r="A65" s="6" t="n"/>
      <c r="B65" s="9">
        <f>IF($A65="","",YEAR($A65))</f>
        <v/>
      </c>
      <c r="C65" s="5" t="n"/>
      <c r="D65" s="9">
        <f>IFERROR(VLOOKUP($C65,ANIMALS!$A$2:$T$61,8,FALSE),"")</f>
        <v/>
      </c>
      <c r="E65" s="5" t="n"/>
      <c r="F65" s="5" t="n"/>
      <c r="G65" s="5" t="n"/>
      <c r="H65" s="5" t="n"/>
    </row>
    <row r="66">
      <c r="A66" s="6" t="n"/>
      <c r="B66" s="9">
        <f>IF($A66="","",YEAR($A66))</f>
        <v/>
      </c>
      <c r="C66" s="5" t="n"/>
      <c r="D66" s="9">
        <f>IFERROR(VLOOKUP($C66,ANIMALS!$A$2:$T$61,8,FALSE),"")</f>
        <v/>
      </c>
      <c r="E66" s="5" t="n"/>
      <c r="F66" s="5" t="n"/>
      <c r="G66" s="5" t="n"/>
      <c r="H66" s="5" t="n"/>
    </row>
    <row r="67">
      <c r="A67" s="6" t="n"/>
      <c r="B67" s="9">
        <f>IF($A67="","",YEAR($A67))</f>
        <v/>
      </c>
      <c r="C67" s="5" t="n"/>
      <c r="D67" s="9">
        <f>IFERROR(VLOOKUP($C67,ANIMALS!$A$2:$T$61,8,FALSE),"")</f>
        <v/>
      </c>
      <c r="E67" s="5" t="n"/>
      <c r="F67" s="5" t="n"/>
      <c r="G67" s="5" t="n"/>
      <c r="H67" s="5" t="n"/>
    </row>
    <row r="68">
      <c r="A68" s="6" t="n"/>
      <c r="B68" s="9">
        <f>IF($A68="","",YEAR($A68))</f>
        <v/>
      </c>
      <c r="C68" s="5" t="n"/>
      <c r="D68" s="9">
        <f>IFERROR(VLOOKUP($C68,ANIMALS!$A$2:$T$61,8,FALSE),"")</f>
        <v/>
      </c>
      <c r="E68" s="5" t="n"/>
      <c r="F68" s="5" t="n"/>
      <c r="G68" s="5" t="n"/>
      <c r="H68" s="5" t="n"/>
    </row>
    <row r="69">
      <c r="A69" s="6" t="n"/>
      <c r="B69" s="9">
        <f>IF($A69="","",YEAR($A69))</f>
        <v/>
      </c>
      <c r="C69" s="5" t="n"/>
      <c r="D69" s="9">
        <f>IFERROR(VLOOKUP($C69,ANIMALS!$A$2:$T$61,8,FALSE),"")</f>
        <v/>
      </c>
      <c r="E69" s="5" t="n"/>
      <c r="F69" s="5" t="n"/>
      <c r="G69" s="5" t="n"/>
      <c r="H69" s="5" t="n"/>
    </row>
    <row r="70">
      <c r="A70" s="6" t="n"/>
      <c r="B70" s="9">
        <f>IF($A70="","",YEAR($A70))</f>
        <v/>
      </c>
      <c r="C70" s="5" t="n"/>
      <c r="D70" s="9">
        <f>IFERROR(VLOOKUP($C70,ANIMALS!$A$2:$T$61,8,FALSE),"")</f>
        <v/>
      </c>
      <c r="E70" s="5" t="n"/>
      <c r="F70" s="5" t="n"/>
      <c r="G70" s="5" t="n"/>
      <c r="H70" s="5" t="n"/>
    </row>
    <row r="71">
      <c r="A71" s="6" t="n"/>
      <c r="B71" s="9">
        <f>IF($A71="","",YEAR($A71))</f>
        <v/>
      </c>
      <c r="C71" s="5" t="n"/>
      <c r="D71" s="9">
        <f>IFERROR(VLOOKUP($C71,ANIMALS!$A$2:$T$61,8,FALSE),"")</f>
        <v/>
      </c>
      <c r="E71" s="5" t="n"/>
      <c r="F71" s="5" t="n"/>
      <c r="G71" s="5" t="n"/>
      <c r="H71" s="5" t="n"/>
    </row>
    <row r="72">
      <c r="A72" s="6" t="n"/>
      <c r="B72" s="9">
        <f>IF($A72="","",YEAR($A72))</f>
        <v/>
      </c>
      <c r="C72" s="5" t="n"/>
      <c r="D72" s="9">
        <f>IFERROR(VLOOKUP($C72,ANIMALS!$A$2:$T$61,8,FALSE),"")</f>
        <v/>
      </c>
      <c r="E72" s="5" t="n"/>
      <c r="F72" s="5" t="n"/>
      <c r="G72" s="5" t="n"/>
      <c r="H72" s="5" t="n"/>
    </row>
    <row r="73">
      <c r="A73" s="6" t="n"/>
      <c r="B73" s="9">
        <f>IF($A73="","",YEAR($A73))</f>
        <v/>
      </c>
      <c r="C73" s="5" t="n"/>
      <c r="D73" s="9">
        <f>IFERROR(VLOOKUP($C73,ANIMALS!$A$2:$T$61,8,FALSE),"")</f>
        <v/>
      </c>
      <c r="E73" s="5" t="n"/>
      <c r="F73" s="5" t="n"/>
      <c r="G73" s="5" t="n"/>
      <c r="H73" s="5" t="n"/>
    </row>
    <row r="74">
      <c r="A74" s="6" t="n"/>
      <c r="B74" s="9">
        <f>IF($A74="","",YEAR($A74))</f>
        <v/>
      </c>
      <c r="C74" s="5" t="n"/>
      <c r="D74" s="9">
        <f>IFERROR(VLOOKUP($C74,ANIMALS!$A$2:$T$61,8,FALSE),"")</f>
        <v/>
      </c>
      <c r="E74" s="5" t="n"/>
      <c r="F74" s="5" t="n"/>
      <c r="G74" s="5" t="n"/>
      <c r="H74" s="5" t="n"/>
    </row>
    <row r="75">
      <c r="A75" s="6" t="n"/>
      <c r="B75" s="9">
        <f>IF($A75="","",YEAR($A75))</f>
        <v/>
      </c>
      <c r="C75" s="5" t="n"/>
      <c r="D75" s="9">
        <f>IFERROR(VLOOKUP($C75,ANIMALS!$A$2:$T$61,8,FALSE),"")</f>
        <v/>
      </c>
      <c r="E75" s="5" t="n"/>
      <c r="F75" s="5" t="n"/>
      <c r="G75" s="5" t="n"/>
      <c r="H75" s="5" t="n"/>
    </row>
    <row r="76">
      <c r="A76" s="6" t="n"/>
      <c r="B76" s="9">
        <f>IF($A76="","",YEAR($A76))</f>
        <v/>
      </c>
      <c r="C76" s="5" t="n"/>
      <c r="D76" s="9">
        <f>IFERROR(VLOOKUP($C76,ANIMALS!$A$2:$T$61,8,FALSE),"")</f>
        <v/>
      </c>
      <c r="E76" s="5" t="n"/>
      <c r="F76" s="5" t="n"/>
      <c r="G76" s="5" t="n"/>
      <c r="H76" s="5" t="n"/>
    </row>
    <row r="77">
      <c r="A77" s="6" t="n"/>
      <c r="B77" s="9">
        <f>IF($A77="","",YEAR($A77))</f>
        <v/>
      </c>
      <c r="C77" s="5" t="n"/>
      <c r="D77" s="9">
        <f>IFERROR(VLOOKUP($C77,ANIMALS!$A$2:$T$61,8,FALSE),"")</f>
        <v/>
      </c>
      <c r="E77" s="5" t="n"/>
      <c r="F77" s="5" t="n"/>
      <c r="G77" s="5" t="n"/>
      <c r="H77" s="5" t="n"/>
    </row>
    <row r="78">
      <c r="A78" s="6" t="n"/>
      <c r="B78" s="9">
        <f>IF($A78="","",YEAR($A78))</f>
        <v/>
      </c>
      <c r="C78" s="5" t="n"/>
      <c r="D78" s="9">
        <f>IFERROR(VLOOKUP($C78,ANIMALS!$A$2:$T$61,8,FALSE),"")</f>
        <v/>
      </c>
      <c r="E78" s="5" t="n"/>
      <c r="F78" s="5" t="n"/>
      <c r="G78" s="5" t="n"/>
      <c r="H78" s="5" t="n"/>
    </row>
    <row r="79">
      <c r="A79" s="6" t="n"/>
      <c r="B79" s="9">
        <f>IF($A79="","",YEAR($A79))</f>
        <v/>
      </c>
      <c r="C79" s="5" t="n"/>
      <c r="D79" s="9">
        <f>IFERROR(VLOOKUP($C79,ANIMALS!$A$2:$T$61,8,FALSE),"")</f>
        <v/>
      </c>
      <c r="E79" s="5" t="n"/>
      <c r="F79" s="5" t="n"/>
      <c r="G79" s="5" t="n"/>
      <c r="H79" s="5" t="n"/>
    </row>
    <row r="80">
      <c r="A80" s="6" t="n"/>
      <c r="B80" s="9">
        <f>IF($A80="","",YEAR($A80))</f>
        <v/>
      </c>
      <c r="C80" s="5" t="n"/>
      <c r="D80" s="9">
        <f>IFERROR(VLOOKUP($C80,ANIMALS!$A$2:$T$61,8,FALSE),"")</f>
        <v/>
      </c>
      <c r="E80" s="5" t="n"/>
      <c r="F80" s="5" t="n"/>
      <c r="G80" s="5" t="n"/>
      <c r="H80" s="5" t="n"/>
    </row>
    <row r="81">
      <c r="A81" s="6" t="n"/>
      <c r="B81" s="9">
        <f>IF($A81="","",YEAR($A81))</f>
        <v/>
      </c>
      <c r="C81" s="5" t="n"/>
      <c r="D81" s="9">
        <f>IFERROR(VLOOKUP($C81,ANIMALS!$A$2:$T$61,8,FALSE),"")</f>
        <v/>
      </c>
      <c r="E81" s="5" t="n"/>
      <c r="F81" s="5" t="n"/>
      <c r="G81" s="5" t="n"/>
      <c r="H81" s="5" t="n"/>
    </row>
    <row r="82">
      <c r="A82" s="6" t="n"/>
      <c r="B82" s="9">
        <f>IF($A82="","",YEAR($A82))</f>
        <v/>
      </c>
      <c r="C82" s="5" t="n"/>
      <c r="D82" s="9">
        <f>IFERROR(VLOOKUP($C82,ANIMALS!$A$2:$T$61,8,FALSE),"")</f>
        <v/>
      </c>
      <c r="E82" s="5" t="n"/>
      <c r="F82" s="5" t="n"/>
      <c r="G82" s="5" t="n"/>
      <c r="H82" s="5" t="n"/>
    </row>
    <row r="83">
      <c r="A83" s="6" t="n"/>
      <c r="B83" s="9">
        <f>IF($A83="","",YEAR($A83))</f>
        <v/>
      </c>
      <c r="C83" s="5" t="n"/>
      <c r="D83" s="9">
        <f>IFERROR(VLOOKUP($C83,ANIMALS!$A$2:$T$61,8,FALSE),"")</f>
        <v/>
      </c>
      <c r="E83" s="5" t="n"/>
      <c r="F83" s="5" t="n"/>
      <c r="G83" s="5" t="n"/>
      <c r="H83" s="5" t="n"/>
    </row>
    <row r="84">
      <c r="A84" s="6" t="n"/>
      <c r="B84" s="9">
        <f>IF($A84="","",YEAR($A84))</f>
        <v/>
      </c>
      <c r="C84" s="5" t="n"/>
      <c r="D84" s="9">
        <f>IFERROR(VLOOKUP($C84,ANIMALS!$A$2:$T$61,8,FALSE),"")</f>
        <v/>
      </c>
      <c r="E84" s="5" t="n"/>
      <c r="F84" s="5" t="n"/>
      <c r="G84" s="5" t="n"/>
      <c r="H84" s="5" t="n"/>
    </row>
    <row r="85">
      <c r="A85" s="6" t="n"/>
      <c r="B85" s="9">
        <f>IF($A85="","",YEAR($A85))</f>
        <v/>
      </c>
      <c r="C85" s="5" t="n"/>
      <c r="D85" s="9">
        <f>IFERROR(VLOOKUP($C85,ANIMALS!$A$2:$T$61,8,FALSE),"")</f>
        <v/>
      </c>
      <c r="E85" s="5" t="n"/>
      <c r="F85" s="5" t="n"/>
      <c r="G85" s="5" t="n"/>
      <c r="H85" s="5" t="n"/>
    </row>
    <row r="86">
      <c r="A86" s="6" t="n"/>
      <c r="B86" s="9">
        <f>IF($A86="","",YEAR($A86))</f>
        <v/>
      </c>
      <c r="C86" s="5" t="n"/>
      <c r="D86" s="9">
        <f>IFERROR(VLOOKUP($C86,ANIMALS!$A$2:$T$61,8,FALSE),"")</f>
        <v/>
      </c>
      <c r="E86" s="5" t="n"/>
      <c r="F86" s="5" t="n"/>
      <c r="G86" s="5" t="n"/>
      <c r="H86" s="5" t="n"/>
    </row>
    <row r="87">
      <c r="A87" s="6" t="n"/>
      <c r="B87" s="9">
        <f>IF($A87="","",YEAR($A87))</f>
        <v/>
      </c>
      <c r="C87" s="5" t="n"/>
      <c r="D87" s="9">
        <f>IFERROR(VLOOKUP($C87,ANIMALS!$A$2:$T$61,8,FALSE),"")</f>
        <v/>
      </c>
      <c r="E87" s="5" t="n"/>
      <c r="F87" s="5" t="n"/>
      <c r="G87" s="5" t="n"/>
      <c r="H87" s="5" t="n"/>
    </row>
    <row r="88">
      <c r="A88" s="6" t="n"/>
      <c r="B88" s="9">
        <f>IF($A88="","",YEAR($A88))</f>
        <v/>
      </c>
      <c r="C88" s="5" t="n"/>
      <c r="D88" s="9">
        <f>IFERROR(VLOOKUP($C88,ANIMALS!$A$2:$T$61,8,FALSE),"")</f>
        <v/>
      </c>
      <c r="E88" s="5" t="n"/>
      <c r="F88" s="5" t="n"/>
      <c r="G88" s="5" t="n"/>
      <c r="H88" s="5" t="n"/>
    </row>
    <row r="89">
      <c r="A89" s="6" t="n"/>
      <c r="B89" s="9">
        <f>IF($A89="","",YEAR($A89))</f>
        <v/>
      </c>
      <c r="C89" s="5" t="n"/>
      <c r="D89" s="9">
        <f>IFERROR(VLOOKUP($C89,ANIMALS!$A$2:$T$61,8,FALSE),"")</f>
        <v/>
      </c>
      <c r="E89" s="5" t="n"/>
      <c r="F89" s="5" t="n"/>
      <c r="G89" s="5" t="n"/>
      <c r="H89" s="5" t="n"/>
    </row>
    <row r="90">
      <c r="A90" s="6" t="n"/>
      <c r="B90" s="9">
        <f>IF($A90="","",YEAR($A90))</f>
        <v/>
      </c>
      <c r="C90" s="5" t="n"/>
      <c r="D90" s="9">
        <f>IFERROR(VLOOKUP($C90,ANIMALS!$A$2:$T$61,8,FALSE),"")</f>
        <v/>
      </c>
      <c r="E90" s="5" t="n"/>
      <c r="F90" s="5" t="n"/>
      <c r="G90" s="5" t="n"/>
      <c r="H90" s="5" t="n"/>
    </row>
    <row r="91">
      <c r="A91" s="6" t="n"/>
      <c r="B91" s="9">
        <f>IF($A91="","",YEAR($A91))</f>
        <v/>
      </c>
      <c r="C91" s="5" t="n"/>
      <c r="D91" s="9">
        <f>IFERROR(VLOOKUP($C91,ANIMALS!$A$2:$T$61,8,FALSE),"")</f>
        <v/>
      </c>
      <c r="E91" s="5" t="n"/>
      <c r="F91" s="5" t="n"/>
      <c r="G91" s="5" t="n"/>
      <c r="H91" s="5" t="n"/>
    </row>
    <row r="92">
      <c r="A92" s="6" t="n"/>
      <c r="B92" s="9">
        <f>IF($A92="","",YEAR($A92))</f>
        <v/>
      </c>
      <c r="C92" s="5" t="n"/>
      <c r="D92" s="9">
        <f>IFERROR(VLOOKUP($C92,ANIMALS!$A$2:$T$61,8,FALSE),"")</f>
        <v/>
      </c>
      <c r="E92" s="5" t="n"/>
      <c r="F92" s="5" t="n"/>
      <c r="G92" s="5" t="n"/>
      <c r="H92" s="5" t="n"/>
    </row>
    <row r="93">
      <c r="A93" s="6" t="n"/>
      <c r="B93" s="9">
        <f>IF($A93="","",YEAR($A93))</f>
        <v/>
      </c>
      <c r="C93" s="5" t="n"/>
      <c r="D93" s="9">
        <f>IFERROR(VLOOKUP($C93,ANIMALS!$A$2:$T$61,8,FALSE),"")</f>
        <v/>
      </c>
      <c r="E93" s="5" t="n"/>
      <c r="F93" s="5" t="n"/>
      <c r="G93" s="5" t="n"/>
      <c r="H93" s="5" t="n"/>
    </row>
    <row r="94">
      <c r="A94" s="6" t="n"/>
      <c r="B94" s="9">
        <f>IF($A94="","",YEAR($A94))</f>
        <v/>
      </c>
      <c r="C94" s="5" t="n"/>
      <c r="D94" s="9">
        <f>IFERROR(VLOOKUP($C94,ANIMALS!$A$2:$T$61,8,FALSE),"")</f>
        <v/>
      </c>
      <c r="E94" s="5" t="n"/>
      <c r="F94" s="5" t="n"/>
      <c r="G94" s="5" t="n"/>
      <c r="H94" s="5" t="n"/>
    </row>
    <row r="95">
      <c r="A95" s="6" t="n"/>
      <c r="B95" s="9">
        <f>IF($A95="","",YEAR($A95))</f>
        <v/>
      </c>
      <c r="C95" s="5" t="n"/>
      <c r="D95" s="9">
        <f>IFERROR(VLOOKUP($C95,ANIMALS!$A$2:$T$61,8,FALSE),"")</f>
        <v/>
      </c>
      <c r="E95" s="5" t="n"/>
      <c r="F95" s="5" t="n"/>
      <c r="G95" s="5" t="n"/>
      <c r="H95" s="5" t="n"/>
    </row>
    <row r="96">
      <c r="A96" s="6" t="n"/>
      <c r="B96" s="9">
        <f>IF($A96="","",YEAR($A96))</f>
        <v/>
      </c>
      <c r="C96" s="5" t="n"/>
      <c r="D96" s="9">
        <f>IFERROR(VLOOKUP($C96,ANIMALS!$A$2:$T$61,8,FALSE),"")</f>
        <v/>
      </c>
      <c r="E96" s="5" t="n"/>
      <c r="F96" s="5" t="n"/>
      <c r="G96" s="5" t="n"/>
      <c r="H96" s="5" t="n"/>
    </row>
    <row r="97">
      <c r="A97" s="6" t="n"/>
      <c r="B97" s="9">
        <f>IF($A97="","",YEAR($A97))</f>
        <v/>
      </c>
      <c r="C97" s="5" t="n"/>
      <c r="D97" s="9">
        <f>IFERROR(VLOOKUP($C97,ANIMALS!$A$2:$T$61,8,FALSE),"")</f>
        <v/>
      </c>
      <c r="E97" s="5" t="n"/>
      <c r="F97" s="5" t="n"/>
      <c r="G97" s="5" t="n"/>
      <c r="H97" s="5" t="n"/>
    </row>
    <row r="98">
      <c r="A98" s="6" t="n"/>
      <c r="B98" s="9">
        <f>IF($A98="","",YEAR($A98))</f>
        <v/>
      </c>
      <c r="C98" s="5" t="n"/>
      <c r="D98" s="9">
        <f>IFERROR(VLOOKUP($C98,ANIMALS!$A$2:$T$61,8,FALSE),"")</f>
        <v/>
      </c>
      <c r="E98" s="5" t="n"/>
      <c r="F98" s="5" t="n"/>
      <c r="G98" s="5" t="n"/>
      <c r="H98" s="5" t="n"/>
    </row>
    <row r="99">
      <c r="A99" s="6" t="n"/>
      <c r="B99" s="9">
        <f>IF($A99="","",YEAR($A99))</f>
        <v/>
      </c>
      <c r="C99" s="5" t="n"/>
      <c r="D99" s="9">
        <f>IFERROR(VLOOKUP($C99,ANIMALS!$A$2:$T$61,8,FALSE),"")</f>
        <v/>
      </c>
      <c r="E99" s="5" t="n"/>
      <c r="F99" s="5" t="n"/>
      <c r="G99" s="5" t="n"/>
      <c r="H99" s="5" t="n"/>
    </row>
    <row r="100">
      <c r="A100" s="6" t="n"/>
      <c r="B100" s="9">
        <f>IF($A100="","",YEAR($A100))</f>
        <v/>
      </c>
      <c r="C100" s="5" t="n"/>
      <c r="D100" s="9">
        <f>IFERROR(VLOOKUP($C100,ANIMALS!$A$2:$T$61,8,FALSE),"")</f>
        <v/>
      </c>
      <c r="E100" s="5" t="n"/>
      <c r="F100" s="5" t="n"/>
      <c r="G100" s="5" t="n"/>
      <c r="H100" s="5" t="n"/>
    </row>
    <row r="101">
      <c r="A101" s="6" t="n"/>
      <c r="B101" s="9">
        <f>IF($A101="","",YEAR($A101))</f>
        <v/>
      </c>
      <c r="C101" s="5" t="n"/>
      <c r="D101" s="9">
        <f>IFERROR(VLOOKUP($C101,ANIMALS!$A$2:$T$61,8,FALSE),"")</f>
        <v/>
      </c>
      <c r="E101" s="5" t="n"/>
      <c r="F101" s="5" t="n"/>
      <c r="G101" s="5" t="n"/>
      <c r="H101" s="5" t="n"/>
    </row>
    <row r="102">
      <c r="A102" s="6" t="n"/>
      <c r="B102" s="9">
        <f>IF($A102="","",YEAR($A102))</f>
        <v/>
      </c>
      <c r="C102" s="5" t="n"/>
      <c r="D102" s="9">
        <f>IFERROR(VLOOKUP($C102,ANIMALS!$A$2:$T$61,8,FALSE),"")</f>
        <v/>
      </c>
      <c r="E102" s="5" t="n"/>
      <c r="F102" s="5" t="n"/>
      <c r="G102" s="5" t="n"/>
      <c r="H102" s="5" t="n"/>
    </row>
    <row r="103">
      <c r="A103" s="6" t="n"/>
      <c r="B103" s="9">
        <f>IF($A103="","",YEAR($A103))</f>
        <v/>
      </c>
      <c r="C103" s="5" t="n"/>
      <c r="D103" s="9">
        <f>IFERROR(VLOOKUP($C103,ANIMALS!$A$2:$T$61,8,FALSE),"")</f>
        <v/>
      </c>
      <c r="E103" s="5" t="n"/>
      <c r="F103" s="5" t="n"/>
      <c r="G103" s="5" t="n"/>
      <c r="H103" s="5" t="n"/>
    </row>
    <row r="104">
      <c r="A104" s="6" t="n"/>
      <c r="B104" s="9">
        <f>IF($A104="","",YEAR($A104))</f>
        <v/>
      </c>
      <c r="C104" s="5" t="n"/>
      <c r="D104" s="9">
        <f>IFERROR(VLOOKUP($C104,ANIMALS!$A$2:$T$61,8,FALSE),"")</f>
        <v/>
      </c>
      <c r="E104" s="5" t="n"/>
      <c r="F104" s="5" t="n"/>
      <c r="G104" s="5" t="n"/>
      <c r="H104" s="5" t="n"/>
    </row>
    <row r="105">
      <c r="A105" s="6" t="n"/>
      <c r="B105" s="9">
        <f>IF($A105="","",YEAR($A105))</f>
        <v/>
      </c>
      <c r="C105" s="5" t="n"/>
      <c r="D105" s="9">
        <f>IFERROR(VLOOKUP($C105,ANIMALS!$A$2:$T$61,8,FALSE),"")</f>
        <v/>
      </c>
      <c r="E105" s="5" t="n"/>
      <c r="F105" s="5" t="n"/>
      <c r="G105" s="5" t="n"/>
      <c r="H105" s="5" t="n"/>
    </row>
    <row r="106">
      <c r="A106" s="6" t="n"/>
      <c r="B106" s="9">
        <f>IF($A106="","",YEAR($A106))</f>
        <v/>
      </c>
      <c r="C106" s="5" t="n"/>
      <c r="D106" s="9">
        <f>IFERROR(VLOOKUP($C106,ANIMALS!$A$2:$T$61,8,FALSE),"")</f>
        <v/>
      </c>
      <c r="E106" s="5" t="n"/>
      <c r="F106" s="5" t="n"/>
      <c r="G106" s="5" t="n"/>
      <c r="H106" s="5" t="n"/>
    </row>
    <row r="107">
      <c r="A107" s="6" t="n"/>
      <c r="B107" s="9">
        <f>IF($A107="","",YEAR($A107))</f>
        <v/>
      </c>
      <c r="C107" s="5" t="n"/>
      <c r="D107" s="9">
        <f>IFERROR(VLOOKUP($C107,ANIMALS!$A$2:$T$61,8,FALSE),"")</f>
        <v/>
      </c>
      <c r="E107" s="5" t="n"/>
      <c r="F107" s="5" t="n"/>
      <c r="G107" s="5" t="n"/>
      <c r="H107" s="5" t="n"/>
    </row>
    <row r="108">
      <c r="A108" s="6" t="n"/>
      <c r="B108" s="9">
        <f>IF($A108="","",YEAR($A108))</f>
        <v/>
      </c>
      <c r="C108" s="5" t="n"/>
      <c r="D108" s="9">
        <f>IFERROR(VLOOKUP($C108,ANIMALS!$A$2:$T$61,8,FALSE),"")</f>
        <v/>
      </c>
      <c r="E108" s="5" t="n"/>
      <c r="F108" s="5" t="n"/>
      <c r="G108" s="5" t="n"/>
      <c r="H108" s="5" t="n"/>
    </row>
    <row r="109">
      <c r="A109" s="6" t="n"/>
      <c r="B109" s="9">
        <f>IF($A109="","",YEAR($A109))</f>
        <v/>
      </c>
      <c r="C109" s="5" t="n"/>
      <c r="D109" s="9">
        <f>IFERROR(VLOOKUP($C109,ANIMALS!$A$2:$T$61,8,FALSE),"")</f>
        <v/>
      </c>
      <c r="E109" s="5" t="n"/>
      <c r="F109" s="5" t="n"/>
      <c r="G109" s="5" t="n"/>
      <c r="H109" s="5" t="n"/>
    </row>
    <row r="110">
      <c r="A110" s="6" t="n"/>
      <c r="B110" s="9">
        <f>IF($A110="","",YEAR($A110))</f>
        <v/>
      </c>
      <c r="C110" s="5" t="n"/>
      <c r="D110" s="9">
        <f>IFERROR(VLOOKUP($C110,ANIMALS!$A$2:$T$61,8,FALSE),"")</f>
        <v/>
      </c>
      <c r="E110" s="5" t="n"/>
      <c r="F110" s="5" t="n"/>
      <c r="G110" s="5" t="n"/>
      <c r="H110" s="5" t="n"/>
    </row>
    <row r="111">
      <c r="A111" s="6" t="n"/>
      <c r="B111" s="9">
        <f>IF($A111="","",YEAR($A111))</f>
        <v/>
      </c>
      <c r="C111" s="5" t="n"/>
      <c r="D111" s="9">
        <f>IFERROR(VLOOKUP($C111,ANIMALS!$A$2:$T$61,8,FALSE),"")</f>
        <v/>
      </c>
      <c r="E111" s="5" t="n"/>
      <c r="F111" s="5" t="n"/>
      <c r="G111" s="5" t="n"/>
      <c r="H111" s="5" t="n"/>
    </row>
    <row r="112">
      <c r="A112" s="6" t="n"/>
      <c r="B112" s="9">
        <f>IF($A112="","",YEAR($A112))</f>
        <v/>
      </c>
      <c r="C112" s="5" t="n"/>
      <c r="D112" s="9">
        <f>IFERROR(VLOOKUP($C112,ANIMALS!$A$2:$T$61,8,FALSE),"")</f>
        <v/>
      </c>
      <c r="E112" s="5" t="n"/>
      <c r="F112" s="5" t="n"/>
      <c r="G112" s="5" t="n"/>
      <c r="H112" s="5" t="n"/>
    </row>
    <row r="113">
      <c r="A113" s="6" t="n"/>
      <c r="B113" s="9">
        <f>IF($A113="","",YEAR($A113))</f>
        <v/>
      </c>
      <c r="C113" s="5" t="n"/>
      <c r="D113" s="9">
        <f>IFERROR(VLOOKUP($C113,ANIMALS!$A$2:$T$61,8,FALSE),"")</f>
        <v/>
      </c>
      <c r="E113" s="5" t="n"/>
      <c r="F113" s="5" t="n"/>
      <c r="G113" s="5" t="n"/>
      <c r="H113" s="5" t="n"/>
    </row>
    <row r="114">
      <c r="A114" s="6" t="n"/>
      <c r="B114" s="9">
        <f>IF($A114="","",YEAR($A114))</f>
        <v/>
      </c>
      <c r="C114" s="5" t="n"/>
      <c r="D114" s="9">
        <f>IFERROR(VLOOKUP($C114,ANIMALS!$A$2:$T$61,8,FALSE),"")</f>
        <v/>
      </c>
      <c r="E114" s="5" t="n"/>
      <c r="F114" s="5" t="n"/>
      <c r="G114" s="5" t="n"/>
      <c r="H114" s="5" t="n"/>
    </row>
    <row r="115">
      <c r="A115" s="6" t="n"/>
      <c r="B115" s="9">
        <f>IF($A115="","",YEAR($A115))</f>
        <v/>
      </c>
      <c r="C115" s="5" t="n"/>
      <c r="D115" s="9">
        <f>IFERROR(VLOOKUP($C115,ANIMALS!$A$2:$T$61,8,FALSE),"")</f>
        <v/>
      </c>
      <c r="E115" s="5" t="n"/>
      <c r="F115" s="5" t="n"/>
      <c r="G115" s="5" t="n"/>
      <c r="H115" s="5" t="n"/>
    </row>
    <row r="116">
      <c r="A116" s="6" t="n"/>
      <c r="B116" s="9">
        <f>IF($A116="","",YEAR($A116))</f>
        <v/>
      </c>
      <c r="C116" s="5" t="n"/>
      <c r="D116" s="9">
        <f>IFERROR(VLOOKUP($C116,ANIMALS!$A$2:$T$61,8,FALSE),"")</f>
        <v/>
      </c>
      <c r="E116" s="5" t="n"/>
      <c r="F116" s="5" t="n"/>
      <c r="G116" s="5" t="n"/>
      <c r="H116" s="5" t="n"/>
    </row>
    <row r="117">
      <c r="A117" s="6" t="n"/>
      <c r="B117" s="9">
        <f>IF($A117="","",YEAR($A117))</f>
        <v/>
      </c>
      <c r="C117" s="5" t="n"/>
      <c r="D117" s="9">
        <f>IFERROR(VLOOKUP($C117,ANIMALS!$A$2:$T$61,8,FALSE),"")</f>
        <v/>
      </c>
      <c r="E117" s="5" t="n"/>
      <c r="F117" s="5" t="n"/>
      <c r="G117" s="5" t="n"/>
      <c r="H117" s="5" t="n"/>
    </row>
    <row r="118">
      <c r="A118" s="6" t="n"/>
      <c r="B118" s="9">
        <f>IF($A118="","",YEAR($A118))</f>
        <v/>
      </c>
      <c r="C118" s="5" t="n"/>
      <c r="D118" s="9">
        <f>IFERROR(VLOOKUP($C118,ANIMALS!$A$2:$T$61,8,FALSE),"")</f>
        <v/>
      </c>
      <c r="E118" s="5" t="n"/>
      <c r="F118" s="5" t="n"/>
      <c r="G118" s="5" t="n"/>
      <c r="H118" s="5" t="n"/>
    </row>
    <row r="119">
      <c r="A119" s="6" t="n"/>
      <c r="B119" s="9">
        <f>IF($A119="","",YEAR($A119))</f>
        <v/>
      </c>
      <c r="C119" s="5" t="n"/>
      <c r="D119" s="9">
        <f>IFERROR(VLOOKUP($C119,ANIMALS!$A$2:$T$61,8,FALSE),"")</f>
        <v/>
      </c>
      <c r="E119" s="5" t="n"/>
      <c r="F119" s="5" t="n"/>
      <c r="G119" s="5" t="n"/>
      <c r="H119" s="5" t="n"/>
    </row>
    <row r="120">
      <c r="A120" s="6" t="n"/>
      <c r="B120" s="9">
        <f>IF($A120="","",YEAR($A120))</f>
        <v/>
      </c>
      <c r="C120" s="5" t="n"/>
      <c r="D120" s="9">
        <f>IFERROR(VLOOKUP($C120,ANIMALS!$A$2:$T$61,8,FALSE),"")</f>
        <v/>
      </c>
      <c r="E120" s="5" t="n"/>
      <c r="F120" s="5" t="n"/>
      <c r="G120" s="5" t="n"/>
      <c r="H120" s="5" t="n"/>
    </row>
    <row r="121">
      <c r="A121" s="6" t="n"/>
      <c r="B121" s="9">
        <f>IF($A121="","",YEAR($A121))</f>
        <v/>
      </c>
      <c r="C121" s="5" t="n"/>
      <c r="D121" s="9">
        <f>IFERROR(VLOOKUP($C121,ANIMALS!$A$2:$T$61,8,FALSE),"")</f>
        <v/>
      </c>
      <c r="E121" s="5" t="n"/>
      <c r="F121" s="5" t="n"/>
      <c r="G121" s="5" t="n"/>
      <c r="H121" s="5" t="n"/>
    </row>
    <row r="122">
      <c r="A122" s="6" t="n"/>
      <c r="B122" s="9">
        <f>IF($A122="","",YEAR($A122))</f>
        <v/>
      </c>
      <c r="C122" s="5" t="n"/>
      <c r="D122" s="9">
        <f>IFERROR(VLOOKUP($C122,ANIMALS!$A$2:$T$61,8,FALSE),"")</f>
        <v/>
      </c>
      <c r="E122" s="5" t="n"/>
      <c r="F122" s="5" t="n"/>
      <c r="G122" s="5" t="n"/>
      <c r="H122" s="5" t="n"/>
    </row>
    <row r="123">
      <c r="A123" s="6" t="n"/>
      <c r="B123" s="9">
        <f>IF($A123="","",YEAR($A123))</f>
        <v/>
      </c>
      <c r="C123" s="5" t="n"/>
      <c r="D123" s="9">
        <f>IFERROR(VLOOKUP($C123,ANIMALS!$A$2:$T$61,8,FALSE),"")</f>
        <v/>
      </c>
      <c r="E123" s="5" t="n"/>
      <c r="F123" s="5" t="n"/>
      <c r="G123" s="5" t="n"/>
      <c r="H123" s="5" t="n"/>
    </row>
    <row r="124">
      <c r="A124" s="6" t="n"/>
      <c r="B124" s="9">
        <f>IF($A124="","",YEAR($A124))</f>
        <v/>
      </c>
      <c r="C124" s="5" t="n"/>
      <c r="D124" s="9">
        <f>IFERROR(VLOOKUP($C124,ANIMALS!$A$2:$T$61,8,FALSE),"")</f>
        <v/>
      </c>
      <c r="E124" s="5" t="n"/>
      <c r="F124" s="5" t="n"/>
      <c r="G124" s="5" t="n"/>
      <c r="H124" s="5" t="n"/>
    </row>
    <row r="125">
      <c r="A125" s="6" t="n"/>
      <c r="B125" s="9">
        <f>IF($A125="","",YEAR($A125))</f>
        <v/>
      </c>
      <c r="C125" s="5" t="n"/>
      <c r="D125" s="9">
        <f>IFERROR(VLOOKUP($C125,ANIMALS!$A$2:$T$61,8,FALSE),"")</f>
        <v/>
      </c>
      <c r="E125" s="5" t="n"/>
      <c r="F125" s="5" t="n"/>
      <c r="G125" s="5" t="n"/>
      <c r="H125" s="5" t="n"/>
    </row>
    <row r="126">
      <c r="A126" s="6" t="n"/>
      <c r="B126" s="9">
        <f>IF($A126="","",YEAR($A126))</f>
        <v/>
      </c>
      <c r="C126" s="5" t="n"/>
      <c r="D126" s="9">
        <f>IFERROR(VLOOKUP($C126,ANIMALS!$A$2:$T$61,8,FALSE),"")</f>
        <v/>
      </c>
      <c r="E126" s="5" t="n"/>
      <c r="F126" s="5" t="n"/>
      <c r="G126" s="5" t="n"/>
      <c r="H126" s="5" t="n"/>
    </row>
    <row r="127">
      <c r="A127" s="6" t="n"/>
      <c r="B127" s="9">
        <f>IF($A127="","",YEAR($A127))</f>
        <v/>
      </c>
      <c r="C127" s="5" t="n"/>
      <c r="D127" s="9">
        <f>IFERROR(VLOOKUP($C127,ANIMALS!$A$2:$T$61,8,FALSE),"")</f>
        <v/>
      </c>
      <c r="E127" s="5" t="n"/>
      <c r="F127" s="5" t="n"/>
      <c r="G127" s="5" t="n"/>
      <c r="H127" s="5" t="n"/>
    </row>
    <row r="128">
      <c r="A128" s="6" t="n"/>
      <c r="B128" s="9">
        <f>IF($A128="","",YEAR($A128))</f>
        <v/>
      </c>
      <c r="C128" s="5" t="n"/>
      <c r="D128" s="9">
        <f>IFERROR(VLOOKUP($C128,ANIMALS!$A$2:$T$61,8,FALSE),"")</f>
        <v/>
      </c>
      <c r="E128" s="5" t="n"/>
      <c r="F128" s="5" t="n"/>
      <c r="G128" s="5" t="n"/>
      <c r="H128" s="5" t="n"/>
    </row>
    <row r="129">
      <c r="A129" s="6" t="n"/>
      <c r="B129" s="9">
        <f>IF($A129="","",YEAR($A129))</f>
        <v/>
      </c>
      <c r="C129" s="5" t="n"/>
      <c r="D129" s="9">
        <f>IFERROR(VLOOKUP($C129,ANIMALS!$A$2:$T$61,8,FALSE),"")</f>
        <v/>
      </c>
      <c r="E129" s="5" t="n"/>
      <c r="F129" s="5" t="n"/>
      <c r="G129" s="5" t="n"/>
      <c r="H129" s="5" t="n"/>
    </row>
    <row r="130">
      <c r="A130" s="6" t="n"/>
      <c r="B130" s="9">
        <f>IF($A130="","",YEAR($A130))</f>
        <v/>
      </c>
      <c r="C130" s="5" t="n"/>
      <c r="D130" s="9">
        <f>IFERROR(VLOOKUP($C130,ANIMALS!$A$2:$T$61,8,FALSE),"")</f>
        <v/>
      </c>
      <c r="E130" s="5" t="n"/>
      <c r="F130" s="5" t="n"/>
      <c r="G130" s="5" t="n"/>
      <c r="H130" s="5" t="n"/>
    </row>
    <row r="131">
      <c r="A131" s="6" t="n"/>
      <c r="B131" s="9">
        <f>IF($A131="","",YEAR($A131))</f>
        <v/>
      </c>
      <c r="C131" s="5" t="n"/>
      <c r="D131" s="9">
        <f>IFERROR(VLOOKUP($C131,ANIMALS!$A$2:$T$61,8,FALSE),"")</f>
        <v/>
      </c>
      <c r="E131" s="5" t="n"/>
      <c r="F131" s="5" t="n"/>
      <c r="G131" s="5" t="n"/>
      <c r="H131" s="5" t="n"/>
    </row>
    <row r="132">
      <c r="A132" s="6" t="n"/>
      <c r="B132" s="9">
        <f>IF($A132="","",YEAR($A132))</f>
        <v/>
      </c>
      <c r="C132" s="5" t="n"/>
      <c r="D132" s="9">
        <f>IFERROR(VLOOKUP($C132,ANIMALS!$A$2:$T$61,8,FALSE),"")</f>
        <v/>
      </c>
      <c r="E132" s="5" t="n"/>
      <c r="F132" s="5" t="n"/>
      <c r="G132" s="5" t="n"/>
      <c r="H132" s="5" t="n"/>
    </row>
    <row r="133">
      <c r="A133" s="6" t="n"/>
      <c r="B133" s="9">
        <f>IF($A133="","",YEAR($A133))</f>
        <v/>
      </c>
      <c r="C133" s="5" t="n"/>
      <c r="D133" s="9">
        <f>IFERROR(VLOOKUP($C133,ANIMALS!$A$2:$T$61,8,FALSE),"")</f>
        <v/>
      </c>
      <c r="E133" s="5" t="n"/>
      <c r="F133" s="5" t="n"/>
      <c r="G133" s="5" t="n"/>
      <c r="H133" s="5" t="n"/>
    </row>
    <row r="134">
      <c r="A134" s="6" t="n"/>
      <c r="B134" s="9">
        <f>IF($A134="","",YEAR($A134))</f>
        <v/>
      </c>
      <c r="C134" s="5" t="n"/>
      <c r="D134" s="9">
        <f>IFERROR(VLOOKUP($C134,ANIMALS!$A$2:$T$61,8,FALSE),"")</f>
        <v/>
      </c>
      <c r="E134" s="5" t="n"/>
      <c r="F134" s="5" t="n"/>
      <c r="G134" s="5" t="n"/>
      <c r="H134" s="5" t="n"/>
    </row>
    <row r="135">
      <c r="A135" s="6" t="n"/>
      <c r="B135" s="9">
        <f>IF($A135="","",YEAR($A135))</f>
        <v/>
      </c>
      <c r="C135" s="5" t="n"/>
      <c r="D135" s="9">
        <f>IFERROR(VLOOKUP($C135,ANIMALS!$A$2:$T$61,8,FALSE),"")</f>
        <v/>
      </c>
      <c r="E135" s="5" t="n"/>
      <c r="F135" s="5" t="n"/>
      <c r="G135" s="5" t="n"/>
      <c r="H135" s="5" t="n"/>
    </row>
    <row r="136">
      <c r="A136" s="6" t="n"/>
      <c r="B136" s="9">
        <f>IF($A136="","",YEAR($A136))</f>
        <v/>
      </c>
      <c r="C136" s="5" t="n"/>
      <c r="D136" s="9">
        <f>IFERROR(VLOOKUP($C136,ANIMALS!$A$2:$T$61,8,FALSE),"")</f>
        <v/>
      </c>
      <c r="E136" s="5" t="n"/>
      <c r="F136" s="5" t="n"/>
      <c r="G136" s="5" t="n"/>
      <c r="H136" s="5" t="n"/>
    </row>
    <row r="137">
      <c r="A137" s="6" t="n"/>
      <c r="B137" s="9">
        <f>IF($A137="","",YEAR($A137))</f>
        <v/>
      </c>
      <c r="C137" s="5" t="n"/>
      <c r="D137" s="9">
        <f>IFERROR(VLOOKUP($C137,ANIMALS!$A$2:$T$61,8,FALSE),"")</f>
        <v/>
      </c>
      <c r="E137" s="5" t="n"/>
      <c r="F137" s="5" t="n"/>
      <c r="G137" s="5" t="n"/>
      <c r="H137" s="5" t="n"/>
    </row>
    <row r="138">
      <c r="A138" s="6" t="n"/>
      <c r="B138" s="9">
        <f>IF($A138="","",YEAR($A138))</f>
        <v/>
      </c>
      <c r="C138" s="5" t="n"/>
      <c r="D138" s="9">
        <f>IFERROR(VLOOKUP($C138,ANIMALS!$A$2:$T$61,8,FALSE),"")</f>
        <v/>
      </c>
      <c r="E138" s="5" t="n"/>
      <c r="F138" s="5" t="n"/>
      <c r="G138" s="5" t="n"/>
      <c r="H138" s="5" t="n"/>
    </row>
    <row r="139">
      <c r="A139" s="6" t="n"/>
      <c r="B139" s="9">
        <f>IF($A139="","",YEAR($A139))</f>
        <v/>
      </c>
      <c r="C139" s="5" t="n"/>
      <c r="D139" s="9">
        <f>IFERROR(VLOOKUP($C139,ANIMALS!$A$2:$T$61,8,FALSE),"")</f>
        <v/>
      </c>
      <c r="E139" s="5" t="n"/>
      <c r="F139" s="5" t="n"/>
      <c r="G139" s="5" t="n"/>
      <c r="H139" s="5" t="n"/>
    </row>
    <row r="140">
      <c r="A140" s="6" t="n"/>
      <c r="B140" s="9">
        <f>IF($A140="","",YEAR($A140))</f>
        <v/>
      </c>
      <c r="C140" s="5" t="n"/>
      <c r="D140" s="9">
        <f>IFERROR(VLOOKUP($C140,ANIMALS!$A$2:$T$61,8,FALSE),"")</f>
        <v/>
      </c>
      <c r="E140" s="5" t="n"/>
      <c r="F140" s="5" t="n"/>
      <c r="G140" s="5" t="n"/>
      <c r="H140" s="5" t="n"/>
    </row>
    <row r="141">
      <c r="A141" s="6" t="n"/>
      <c r="B141" s="9">
        <f>IF($A141="","",YEAR($A141))</f>
        <v/>
      </c>
      <c r="C141" s="5" t="n"/>
      <c r="D141" s="9">
        <f>IFERROR(VLOOKUP($C141,ANIMALS!$A$2:$T$61,8,FALSE),"")</f>
        <v/>
      </c>
      <c r="E141" s="5" t="n"/>
      <c r="F141" s="5" t="n"/>
      <c r="G141" s="5" t="n"/>
      <c r="H141" s="5" t="n"/>
    </row>
    <row r="142">
      <c r="A142" s="6" t="n"/>
      <c r="B142" s="9">
        <f>IF($A142="","",YEAR($A142))</f>
        <v/>
      </c>
      <c r="C142" s="5" t="n"/>
      <c r="D142" s="9">
        <f>IFERROR(VLOOKUP($C142,ANIMALS!$A$2:$T$61,8,FALSE),"")</f>
        <v/>
      </c>
      <c r="E142" s="5" t="n"/>
      <c r="F142" s="5" t="n"/>
      <c r="G142" s="5" t="n"/>
      <c r="H142" s="5" t="n"/>
    </row>
    <row r="143">
      <c r="A143" s="6" t="n"/>
      <c r="B143" s="9">
        <f>IF($A143="","",YEAR($A143))</f>
        <v/>
      </c>
      <c r="C143" s="5" t="n"/>
      <c r="D143" s="9">
        <f>IFERROR(VLOOKUP($C143,ANIMALS!$A$2:$T$61,8,FALSE),"")</f>
        <v/>
      </c>
      <c r="E143" s="5" t="n"/>
      <c r="F143" s="5" t="n"/>
      <c r="G143" s="5" t="n"/>
      <c r="H143" s="5" t="n"/>
    </row>
    <row r="144">
      <c r="A144" s="6" t="n"/>
      <c r="B144" s="9">
        <f>IF($A144="","",YEAR($A144))</f>
        <v/>
      </c>
      <c r="C144" s="5" t="n"/>
      <c r="D144" s="9">
        <f>IFERROR(VLOOKUP($C144,ANIMALS!$A$2:$T$61,8,FALSE),"")</f>
        <v/>
      </c>
      <c r="E144" s="5" t="n"/>
      <c r="F144" s="5" t="n"/>
      <c r="G144" s="5" t="n"/>
      <c r="H144" s="5" t="n"/>
    </row>
    <row r="145">
      <c r="A145" s="6" t="n"/>
      <c r="B145" s="9">
        <f>IF($A145="","",YEAR($A145))</f>
        <v/>
      </c>
      <c r="C145" s="5" t="n"/>
      <c r="D145" s="9">
        <f>IFERROR(VLOOKUP($C145,ANIMALS!$A$2:$T$61,8,FALSE),"")</f>
        <v/>
      </c>
      <c r="E145" s="5" t="n"/>
      <c r="F145" s="5" t="n"/>
      <c r="G145" s="5" t="n"/>
      <c r="H145" s="5" t="n"/>
    </row>
    <row r="146">
      <c r="A146" s="6" t="n"/>
      <c r="B146" s="9">
        <f>IF($A146="","",YEAR($A146))</f>
        <v/>
      </c>
      <c r="C146" s="5" t="n"/>
      <c r="D146" s="9">
        <f>IFERROR(VLOOKUP($C146,ANIMALS!$A$2:$T$61,8,FALSE),"")</f>
        <v/>
      </c>
      <c r="E146" s="5" t="n"/>
      <c r="F146" s="5" t="n"/>
      <c r="G146" s="5" t="n"/>
      <c r="H146" s="5" t="n"/>
    </row>
    <row r="147">
      <c r="A147" s="6" t="n"/>
      <c r="B147" s="9">
        <f>IF($A147="","",YEAR($A147))</f>
        <v/>
      </c>
      <c r="C147" s="5" t="n"/>
      <c r="D147" s="9">
        <f>IFERROR(VLOOKUP($C147,ANIMALS!$A$2:$T$61,8,FALSE),"")</f>
        <v/>
      </c>
      <c r="E147" s="5" t="n"/>
      <c r="F147" s="5" t="n"/>
      <c r="G147" s="5" t="n"/>
      <c r="H147" s="5" t="n"/>
    </row>
    <row r="148">
      <c r="A148" s="6" t="n"/>
      <c r="B148" s="9">
        <f>IF($A148="","",YEAR($A148))</f>
        <v/>
      </c>
      <c r="C148" s="5" t="n"/>
      <c r="D148" s="9">
        <f>IFERROR(VLOOKUP($C148,ANIMALS!$A$2:$T$61,8,FALSE),"")</f>
        <v/>
      </c>
      <c r="E148" s="5" t="n"/>
      <c r="F148" s="5" t="n"/>
      <c r="G148" s="5" t="n"/>
      <c r="H148" s="5" t="n"/>
    </row>
    <row r="149">
      <c r="A149" s="6" t="n"/>
      <c r="B149" s="9">
        <f>IF($A149="","",YEAR($A149))</f>
        <v/>
      </c>
      <c r="C149" s="5" t="n"/>
      <c r="D149" s="9">
        <f>IFERROR(VLOOKUP($C149,ANIMALS!$A$2:$T$61,8,FALSE),"")</f>
        <v/>
      </c>
      <c r="E149" s="5" t="n"/>
      <c r="F149" s="5" t="n"/>
      <c r="G149" s="5" t="n"/>
      <c r="H149" s="5" t="n"/>
    </row>
    <row r="150">
      <c r="A150" s="6" t="n"/>
      <c r="B150" s="9">
        <f>IF($A150="","",YEAR($A150))</f>
        <v/>
      </c>
      <c r="C150" s="5" t="n"/>
      <c r="D150" s="9">
        <f>IFERROR(VLOOKUP($C150,ANIMALS!$A$2:$T$61,8,FALSE),"")</f>
        <v/>
      </c>
      <c r="E150" s="5" t="n"/>
      <c r="F150" s="5" t="n"/>
      <c r="G150" s="5" t="n"/>
      <c r="H150" s="5" t="n"/>
    </row>
    <row r="151">
      <c r="A151" s="6" t="n"/>
      <c r="B151" s="9">
        <f>IF($A151="","",YEAR($A151))</f>
        <v/>
      </c>
      <c r="C151" s="5" t="n"/>
      <c r="D151" s="9">
        <f>IFERROR(VLOOKUP($C151,ANIMALS!$A$2:$T$61,8,FALSE),"")</f>
        <v/>
      </c>
      <c r="E151" s="5" t="n"/>
      <c r="F151" s="5" t="n"/>
      <c r="G151" s="5" t="n"/>
      <c r="H151" s="5" t="n"/>
    </row>
    <row r="152">
      <c r="A152" s="6" t="n"/>
      <c r="B152" s="9">
        <f>IF($A152="","",YEAR($A152))</f>
        <v/>
      </c>
      <c r="C152" s="5" t="n"/>
      <c r="D152" s="9">
        <f>IFERROR(VLOOKUP($C152,ANIMALS!$A$2:$T$61,8,FALSE),"")</f>
        <v/>
      </c>
      <c r="E152" s="5" t="n"/>
      <c r="F152" s="5" t="n"/>
      <c r="G152" s="5" t="n"/>
      <c r="H152" s="5" t="n"/>
    </row>
    <row r="153">
      <c r="A153" s="6" t="n"/>
      <c r="B153" s="9">
        <f>IF($A153="","",YEAR($A153))</f>
        <v/>
      </c>
      <c r="C153" s="5" t="n"/>
      <c r="D153" s="9">
        <f>IFERROR(VLOOKUP($C153,ANIMALS!$A$2:$T$61,8,FALSE),"")</f>
        <v/>
      </c>
      <c r="E153" s="5" t="n"/>
      <c r="F153" s="5" t="n"/>
      <c r="G153" s="5" t="n"/>
      <c r="H153" s="5" t="n"/>
    </row>
    <row r="154">
      <c r="A154" s="6" t="n"/>
      <c r="B154" s="9">
        <f>IF($A154="","",YEAR($A154))</f>
        <v/>
      </c>
      <c r="C154" s="5" t="n"/>
      <c r="D154" s="9">
        <f>IFERROR(VLOOKUP($C154,ANIMALS!$A$2:$T$61,8,FALSE),"")</f>
        <v/>
      </c>
      <c r="E154" s="5" t="n"/>
      <c r="F154" s="5" t="n"/>
      <c r="G154" s="5" t="n"/>
      <c r="H154" s="5" t="n"/>
    </row>
    <row r="155">
      <c r="A155" s="6" t="n"/>
      <c r="B155" s="9">
        <f>IF($A155="","",YEAR($A155))</f>
        <v/>
      </c>
      <c r="C155" s="5" t="n"/>
      <c r="D155" s="9">
        <f>IFERROR(VLOOKUP($C155,ANIMALS!$A$2:$T$61,8,FALSE),"")</f>
        <v/>
      </c>
      <c r="E155" s="5" t="n"/>
      <c r="F155" s="5" t="n"/>
      <c r="G155" s="5" t="n"/>
      <c r="H155" s="5" t="n"/>
    </row>
    <row r="156">
      <c r="A156" s="6" t="n"/>
      <c r="B156" s="9">
        <f>IF($A156="","",YEAR($A156))</f>
        <v/>
      </c>
      <c r="C156" s="5" t="n"/>
      <c r="D156" s="9">
        <f>IFERROR(VLOOKUP($C156,ANIMALS!$A$2:$T$61,8,FALSE),"")</f>
        <v/>
      </c>
      <c r="E156" s="5" t="n"/>
      <c r="F156" s="5" t="n"/>
      <c r="G156" s="5" t="n"/>
      <c r="H156" s="5" t="n"/>
    </row>
    <row r="157">
      <c r="A157" s="6" t="n"/>
      <c r="B157" s="9">
        <f>IF($A157="","",YEAR($A157))</f>
        <v/>
      </c>
      <c r="C157" s="5" t="n"/>
      <c r="D157" s="9">
        <f>IFERROR(VLOOKUP($C157,ANIMALS!$A$2:$T$61,8,FALSE),"")</f>
        <v/>
      </c>
      <c r="E157" s="5" t="n"/>
      <c r="F157" s="5" t="n"/>
      <c r="G157" s="5" t="n"/>
      <c r="H157" s="5" t="n"/>
    </row>
    <row r="158">
      <c r="A158" s="6" t="n"/>
      <c r="B158" s="9">
        <f>IF($A158="","",YEAR($A158))</f>
        <v/>
      </c>
      <c r="C158" s="5" t="n"/>
      <c r="D158" s="9">
        <f>IFERROR(VLOOKUP($C158,ANIMALS!$A$2:$T$61,8,FALSE),"")</f>
        <v/>
      </c>
      <c r="E158" s="5" t="n"/>
      <c r="F158" s="5" t="n"/>
      <c r="G158" s="5" t="n"/>
      <c r="H158" s="5" t="n"/>
    </row>
    <row r="159">
      <c r="A159" s="6" t="n"/>
      <c r="B159" s="9">
        <f>IF($A159="","",YEAR($A159))</f>
        <v/>
      </c>
      <c r="C159" s="5" t="n"/>
      <c r="D159" s="9">
        <f>IFERROR(VLOOKUP($C159,ANIMALS!$A$2:$T$61,8,FALSE),"")</f>
        <v/>
      </c>
      <c r="E159" s="5" t="n"/>
      <c r="F159" s="5" t="n"/>
      <c r="G159" s="5" t="n"/>
      <c r="H159" s="5" t="n"/>
    </row>
    <row r="160">
      <c r="A160" s="6" t="n"/>
      <c r="B160" s="9">
        <f>IF($A160="","",YEAR($A160))</f>
        <v/>
      </c>
      <c r="C160" s="5" t="n"/>
      <c r="D160" s="9">
        <f>IFERROR(VLOOKUP($C160,ANIMALS!$A$2:$T$61,8,FALSE),"")</f>
        <v/>
      </c>
      <c r="E160" s="5" t="n"/>
      <c r="F160" s="5" t="n"/>
      <c r="G160" s="5" t="n"/>
      <c r="H160" s="5" t="n"/>
    </row>
    <row r="161">
      <c r="A161" s="6" t="n"/>
      <c r="B161" s="9">
        <f>IF($A161="","",YEAR($A161))</f>
        <v/>
      </c>
      <c r="C161" s="5" t="n"/>
      <c r="D161" s="9">
        <f>IFERROR(VLOOKUP($C161,ANIMALS!$A$2:$T$61,8,FALSE),"")</f>
        <v/>
      </c>
      <c r="E161" s="5" t="n"/>
      <c r="F161" s="5" t="n"/>
      <c r="G161" s="5" t="n"/>
      <c r="H161" s="5" t="n"/>
    </row>
    <row r="162">
      <c r="A162" s="6" t="n"/>
      <c r="B162" s="9">
        <f>IF($A162="","",YEAR($A162))</f>
        <v/>
      </c>
      <c r="C162" s="5" t="n"/>
      <c r="D162" s="9">
        <f>IFERROR(VLOOKUP($C162,ANIMALS!$A$2:$T$61,8,FALSE),"")</f>
        <v/>
      </c>
      <c r="E162" s="5" t="n"/>
      <c r="F162" s="5" t="n"/>
      <c r="G162" s="5" t="n"/>
      <c r="H162" s="5" t="n"/>
    </row>
    <row r="163">
      <c r="A163" s="6" t="n"/>
      <c r="B163" s="9">
        <f>IF($A163="","",YEAR($A163))</f>
        <v/>
      </c>
      <c r="C163" s="5" t="n"/>
      <c r="D163" s="9">
        <f>IFERROR(VLOOKUP($C163,ANIMALS!$A$2:$T$61,8,FALSE),"")</f>
        <v/>
      </c>
      <c r="E163" s="5" t="n"/>
      <c r="F163" s="5" t="n"/>
      <c r="G163" s="5" t="n"/>
      <c r="H163" s="5" t="n"/>
    </row>
    <row r="164">
      <c r="A164" s="6" t="n"/>
      <c r="B164" s="9">
        <f>IF($A164="","",YEAR($A164))</f>
        <v/>
      </c>
      <c r="C164" s="5" t="n"/>
      <c r="D164" s="9">
        <f>IFERROR(VLOOKUP($C164,ANIMALS!$A$2:$T$61,8,FALSE),"")</f>
        <v/>
      </c>
      <c r="E164" s="5" t="n"/>
      <c r="F164" s="5" t="n"/>
      <c r="G164" s="5" t="n"/>
      <c r="H164" s="5" t="n"/>
    </row>
    <row r="165">
      <c r="A165" s="6" t="n"/>
      <c r="B165" s="9">
        <f>IF($A165="","",YEAR($A165))</f>
        <v/>
      </c>
      <c r="C165" s="5" t="n"/>
      <c r="D165" s="9">
        <f>IFERROR(VLOOKUP($C165,ANIMALS!$A$2:$T$61,8,FALSE),"")</f>
        <v/>
      </c>
      <c r="E165" s="5" t="n"/>
      <c r="F165" s="5" t="n"/>
      <c r="G165" s="5" t="n"/>
      <c r="H165" s="5" t="n"/>
    </row>
    <row r="166">
      <c r="A166" s="6" t="n"/>
      <c r="B166" s="9">
        <f>IF($A166="","",YEAR($A166))</f>
        <v/>
      </c>
      <c r="C166" s="5" t="n"/>
      <c r="D166" s="9">
        <f>IFERROR(VLOOKUP($C166,ANIMALS!$A$2:$T$61,8,FALSE),"")</f>
        <v/>
      </c>
      <c r="E166" s="5" t="n"/>
      <c r="F166" s="5" t="n"/>
      <c r="G166" s="5" t="n"/>
      <c r="H166" s="5" t="n"/>
    </row>
    <row r="167">
      <c r="A167" s="6" t="n"/>
      <c r="B167" s="9">
        <f>IF($A167="","",YEAR($A167))</f>
        <v/>
      </c>
      <c r="C167" s="5" t="n"/>
      <c r="D167" s="9">
        <f>IFERROR(VLOOKUP($C167,ANIMALS!$A$2:$T$61,8,FALSE),"")</f>
        <v/>
      </c>
      <c r="E167" s="5" t="n"/>
      <c r="F167" s="5" t="n"/>
      <c r="G167" s="5" t="n"/>
      <c r="H167" s="5" t="n"/>
    </row>
    <row r="168">
      <c r="A168" s="6" t="n"/>
      <c r="B168" s="9">
        <f>IF($A168="","",YEAR($A168))</f>
        <v/>
      </c>
      <c r="C168" s="5" t="n"/>
      <c r="D168" s="9">
        <f>IFERROR(VLOOKUP($C168,ANIMALS!$A$2:$T$61,8,FALSE),"")</f>
        <v/>
      </c>
      <c r="E168" s="5" t="n"/>
      <c r="F168" s="5" t="n"/>
      <c r="G168" s="5" t="n"/>
      <c r="H168" s="5" t="n"/>
    </row>
    <row r="169">
      <c r="A169" s="6" t="n"/>
      <c r="B169" s="9">
        <f>IF($A169="","",YEAR($A169))</f>
        <v/>
      </c>
      <c r="C169" s="5" t="n"/>
      <c r="D169" s="9">
        <f>IFERROR(VLOOKUP($C169,ANIMALS!$A$2:$T$61,8,FALSE),"")</f>
        <v/>
      </c>
      <c r="E169" s="5" t="n"/>
      <c r="F169" s="5" t="n"/>
      <c r="G169" s="5" t="n"/>
      <c r="H169" s="5" t="n"/>
    </row>
    <row r="170">
      <c r="A170" s="6" t="n"/>
      <c r="B170" s="9">
        <f>IF($A170="","",YEAR($A170))</f>
        <v/>
      </c>
      <c r="C170" s="5" t="n"/>
      <c r="D170" s="9">
        <f>IFERROR(VLOOKUP($C170,ANIMALS!$A$2:$T$61,8,FALSE),"")</f>
        <v/>
      </c>
      <c r="E170" s="5" t="n"/>
      <c r="F170" s="5" t="n"/>
      <c r="G170" s="5" t="n"/>
      <c r="H170" s="5" t="n"/>
    </row>
    <row r="171">
      <c r="A171" s="6" t="n"/>
      <c r="B171" s="9">
        <f>IF($A171="","",YEAR($A171))</f>
        <v/>
      </c>
      <c r="C171" s="5" t="n"/>
      <c r="D171" s="9">
        <f>IFERROR(VLOOKUP($C171,ANIMALS!$A$2:$T$61,8,FALSE),"")</f>
        <v/>
      </c>
      <c r="E171" s="5" t="n"/>
      <c r="F171" s="5" t="n"/>
      <c r="G171" s="5" t="n"/>
      <c r="H171" s="5" t="n"/>
    </row>
    <row r="172">
      <c r="A172" s="6" t="n"/>
      <c r="B172" s="9">
        <f>IF($A172="","",YEAR($A172))</f>
        <v/>
      </c>
      <c r="C172" s="5" t="n"/>
      <c r="D172" s="9">
        <f>IFERROR(VLOOKUP($C172,ANIMALS!$A$2:$T$61,8,FALSE),"")</f>
        <v/>
      </c>
      <c r="E172" s="5" t="n"/>
      <c r="F172" s="5" t="n"/>
      <c r="G172" s="5" t="n"/>
      <c r="H172" s="5" t="n"/>
    </row>
    <row r="173">
      <c r="A173" s="6" t="n"/>
      <c r="B173" s="9">
        <f>IF($A173="","",YEAR($A173))</f>
        <v/>
      </c>
      <c r="C173" s="5" t="n"/>
      <c r="D173" s="9">
        <f>IFERROR(VLOOKUP($C173,ANIMALS!$A$2:$T$61,8,FALSE),"")</f>
        <v/>
      </c>
      <c r="E173" s="5" t="n"/>
      <c r="F173" s="5" t="n"/>
      <c r="G173" s="5" t="n"/>
      <c r="H173" s="5" t="n"/>
    </row>
    <row r="174">
      <c r="A174" s="6" t="n"/>
      <c r="B174" s="9">
        <f>IF($A174="","",YEAR($A174))</f>
        <v/>
      </c>
      <c r="C174" s="5" t="n"/>
      <c r="D174" s="9">
        <f>IFERROR(VLOOKUP($C174,ANIMALS!$A$2:$T$61,8,FALSE),"")</f>
        <v/>
      </c>
      <c r="E174" s="5" t="n"/>
      <c r="F174" s="5" t="n"/>
      <c r="G174" s="5" t="n"/>
      <c r="H174" s="5" t="n"/>
    </row>
    <row r="175">
      <c r="A175" s="6" t="n"/>
      <c r="B175" s="9">
        <f>IF($A175="","",YEAR($A175))</f>
        <v/>
      </c>
      <c r="C175" s="5" t="n"/>
      <c r="D175" s="9">
        <f>IFERROR(VLOOKUP($C175,ANIMALS!$A$2:$T$61,8,FALSE),"")</f>
        <v/>
      </c>
      <c r="E175" s="5" t="n"/>
      <c r="F175" s="5" t="n"/>
      <c r="G175" s="5" t="n"/>
      <c r="H175" s="5" t="n"/>
    </row>
    <row r="176">
      <c r="A176" s="6" t="n"/>
      <c r="B176" s="9">
        <f>IF($A176="","",YEAR($A176))</f>
        <v/>
      </c>
      <c r="C176" s="5" t="n"/>
      <c r="D176" s="9">
        <f>IFERROR(VLOOKUP($C176,ANIMALS!$A$2:$T$61,8,FALSE),"")</f>
        <v/>
      </c>
      <c r="E176" s="5" t="n"/>
      <c r="F176" s="5" t="n"/>
      <c r="G176" s="5" t="n"/>
      <c r="H176" s="5" t="n"/>
    </row>
    <row r="177">
      <c r="A177" s="6" t="n"/>
      <c r="B177" s="9">
        <f>IF($A177="","",YEAR($A177))</f>
        <v/>
      </c>
      <c r="C177" s="5" t="n"/>
      <c r="D177" s="9">
        <f>IFERROR(VLOOKUP($C177,ANIMALS!$A$2:$T$61,8,FALSE),"")</f>
        <v/>
      </c>
      <c r="E177" s="5" t="n"/>
      <c r="F177" s="5" t="n"/>
      <c r="G177" s="5" t="n"/>
      <c r="H177" s="5" t="n"/>
    </row>
    <row r="178">
      <c r="A178" s="6" t="n"/>
      <c r="B178" s="9">
        <f>IF($A178="","",YEAR($A178))</f>
        <v/>
      </c>
      <c r="C178" s="5" t="n"/>
      <c r="D178" s="9">
        <f>IFERROR(VLOOKUP($C178,ANIMALS!$A$2:$T$61,8,FALSE),"")</f>
        <v/>
      </c>
      <c r="E178" s="5" t="n"/>
      <c r="F178" s="5" t="n"/>
      <c r="G178" s="5" t="n"/>
      <c r="H178" s="5" t="n"/>
    </row>
    <row r="179">
      <c r="A179" s="6" t="n"/>
      <c r="B179" s="9">
        <f>IF($A179="","",YEAR($A179))</f>
        <v/>
      </c>
      <c r="C179" s="5" t="n"/>
      <c r="D179" s="9">
        <f>IFERROR(VLOOKUP($C179,ANIMALS!$A$2:$T$61,8,FALSE),"")</f>
        <v/>
      </c>
      <c r="E179" s="5" t="n"/>
      <c r="F179" s="5" t="n"/>
      <c r="G179" s="5" t="n"/>
      <c r="H179" s="5" t="n"/>
    </row>
    <row r="180">
      <c r="A180" s="6" t="n"/>
      <c r="B180" s="9">
        <f>IF($A180="","",YEAR($A180))</f>
        <v/>
      </c>
      <c r="C180" s="5" t="n"/>
      <c r="D180" s="9">
        <f>IFERROR(VLOOKUP($C180,ANIMALS!$A$2:$T$61,8,FALSE),"")</f>
        <v/>
      </c>
      <c r="E180" s="5" t="n"/>
      <c r="F180" s="5" t="n"/>
      <c r="G180" s="5" t="n"/>
      <c r="H180" s="5" t="n"/>
    </row>
    <row r="181">
      <c r="A181" s="6" t="n"/>
      <c r="B181" s="9">
        <f>IF($A181="","",YEAR($A181))</f>
        <v/>
      </c>
      <c r="C181" s="5" t="n"/>
      <c r="D181" s="9">
        <f>IFERROR(VLOOKUP($C181,ANIMALS!$A$2:$T$61,8,FALSE),"")</f>
        <v/>
      </c>
      <c r="E181" s="5" t="n"/>
      <c r="F181" s="5" t="n"/>
      <c r="G181" s="5" t="n"/>
      <c r="H181" s="5" t="n"/>
    </row>
    <row r="182">
      <c r="A182" s="6" t="n"/>
      <c r="B182" s="9">
        <f>IF($A182="","",YEAR($A182))</f>
        <v/>
      </c>
      <c r="C182" s="5" t="n"/>
      <c r="D182" s="9">
        <f>IFERROR(VLOOKUP($C182,ANIMALS!$A$2:$T$61,8,FALSE),"")</f>
        <v/>
      </c>
      <c r="E182" s="5" t="n"/>
      <c r="F182" s="5" t="n"/>
      <c r="G182" s="5" t="n"/>
      <c r="H182" s="5" t="n"/>
    </row>
    <row r="183">
      <c r="A183" s="6" t="n"/>
      <c r="B183" s="9">
        <f>IF($A183="","",YEAR($A183))</f>
        <v/>
      </c>
      <c r="C183" s="5" t="n"/>
      <c r="D183" s="9">
        <f>IFERROR(VLOOKUP($C183,ANIMALS!$A$2:$T$61,8,FALSE),"")</f>
        <v/>
      </c>
      <c r="E183" s="5" t="n"/>
      <c r="F183" s="5" t="n"/>
      <c r="G183" s="5" t="n"/>
      <c r="H183" s="5" t="n"/>
    </row>
    <row r="184">
      <c r="A184" s="6" t="n"/>
      <c r="B184" s="9">
        <f>IF($A184="","",YEAR($A184))</f>
        <v/>
      </c>
      <c r="C184" s="5" t="n"/>
      <c r="D184" s="9">
        <f>IFERROR(VLOOKUP($C184,ANIMALS!$A$2:$T$61,8,FALSE),"")</f>
        <v/>
      </c>
      <c r="E184" s="5" t="n"/>
      <c r="F184" s="5" t="n"/>
      <c r="G184" s="5" t="n"/>
      <c r="H184" s="5" t="n"/>
    </row>
    <row r="185">
      <c r="A185" s="6" t="n"/>
      <c r="B185" s="9">
        <f>IF($A185="","",YEAR($A185))</f>
        <v/>
      </c>
      <c r="C185" s="5" t="n"/>
      <c r="D185" s="9">
        <f>IFERROR(VLOOKUP($C185,ANIMALS!$A$2:$T$61,8,FALSE),"")</f>
        <v/>
      </c>
      <c r="E185" s="5" t="n"/>
      <c r="F185" s="5" t="n"/>
      <c r="G185" s="5" t="n"/>
      <c r="H185" s="5" t="n"/>
    </row>
    <row r="186">
      <c r="A186" s="6" t="n"/>
      <c r="B186" s="9">
        <f>IF($A186="","",YEAR($A186))</f>
        <v/>
      </c>
      <c r="C186" s="5" t="n"/>
      <c r="D186" s="9">
        <f>IFERROR(VLOOKUP($C186,ANIMALS!$A$2:$T$61,8,FALSE),"")</f>
        <v/>
      </c>
      <c r="E186" s="5" t="n"/>
      <c r="F186" s="5" t="n"/>
      <c r="G186" s="5" t="n"/>
      <c r="H186" s="5" t="n"/>
    </row>
    <row r="187">
      <c r="A187" s="6" t="n"/>
      <c r="B187" s="9">
        <f>IF($A187="","",YEAR($A187))</f>
        <v/>
      </c>
      <c r="C187" s="5" t="n"/>
      <c r="D187" s="9">
        <f>IFERROR(VLOOKUP($C187,ANIMALS!$A$2:$T$61,8,FALSE),"")</f>
        <v/>
      </c>
      <c r="E187" s="5" t="n"/>
      <c r="F187" s="5" t="n"/>
      <c r="G187" s="5" t="n"/>
      <c r="H187" s="5" t="n"/>
    </row>
    <row r="188">
      <c r="A188" s="6" t="n"/>
      <c r="B188" s="9">
        <f>IF($A188="","",YEAR($A188))</f>
        <v/>
      </c>
      <c r="C188" s="5" t="n"/>
      <c r="D188" s="9">
        <f>IFERROR(VLOOKUP($C188,ANIMALS!$A$2:$T$61,8,FALSE),"")</f>
        <v/>
      </c>
      <c r="E188" s="5" t="n"/>
      <c r="F188" s="5" t="n"/>
      <c r="G188" s="5" t="n"/>
      <c r="H188" s="5" t="n"/>
    </row>
    <row r="189">
      <c r="A189" s="6" t="n"/>
      <c r="B189" s="9">
        <f>IF($A189="","",YEAR($A189))</f>
        <v/>
      </c>
      <c r="C189" s="5" t="n"/>
      <c r="D189" s="9">
        <f>IFERROR(VLOOKUP($C189,ANIMALS!$A$2:$T$61,8,FALSE),"")</f>
        <v/>
      </c>
      <c r="E189" s="5" t="n"/>
      <c r="F189" s="5" t="n"/>
      <c r="G189" s="5" t="n"/>
      <c r="H189" s="5" t="n"/>
    </row>
    <row r="190">
      <c r="A190" s="6" t="n"/>
      <c r="B190" s="9">
        <f>IF($A190="","",YEAR($A190))</f>
        <v/>
      </c>
      <c r="C190" s="5" t="n"/>
      <c r="D190" s="9">
        <f>IFERROR(VLOOKUP($C190,ANIMALS!$A$2:$T$61,8,FALSE),"")</f>
        <v/>
      </c>
      <c r="E190" s="5" t="n"/>
      <c r="F190" s="5" t="n"/>
      <c r="G190" s="5" t="n"/>
      <c r="H190" s="5" t="n"/>
    </row>
    <row r="191">
      <c r="A191" s="6" t="n"/>
      <c r="B191" s="9">
        <f>IF($A191="","",YEAR($A191))</f>
        <v/>
      </c>
      <c r="C191" s="5" t="n"/>
      <c r="D191" s="9">
        <f>IFERROR(VLOOKUP($C191,ANIMALS!$A$2:$T$61,8,FALSE),"")</f>
        <v/>
      </c>
      <c r="E191" s="5" t="n"/>
      <c r="F191" s="5" t="n"/>
      <c r="G191" s="5" t="n"/>
      <c r="H191" s="5" t="n"/>
    </row>
    <row r="192">
      <c r="A192" s="6" t="n"/>
      <c r="B192" s="9">
        <f>IF($A192="","",YEAR($A192))</f>
        <v/>
      </c>
      <c r="C192" s="5" t="n"/>
      <c r="D192" s="9">
        <f>IFERROR(VLOOKUP($C192,ANIMALS!$A$2:$T$61,8,FALSE),"")</f>
        <v/>
      </c>
      <c r="E192" s="5" t="n"/>
      <c r="F192" s="5" t="n"/>
      <c r="G192" s="5" t="n"/>
      <c r="H192" s="5" t="n"/>
    </row>
    <row r="193">
      <c r="A193" s="6" t="n"/>
      <c r="B193" s="9">
        <f>IF($A193="","",YEAR($A193))</f>
        <v/>
      </c>
      <c r="C193" s="5" t="n"/>
      <c r="D193" s="9">
        <f>IFERROR(VLOOKUP($C193,ANIMALS!$A$2:$T$61,8,FALSE),"")</f>
        <v/>
      </c>
      <c r="E193" s="5" t="n"/>
      <c r="F193" s="5" t="n"/>
      <c r="G193" s="5" t="n"/>
      <c r="H193" s="5" t="n"/>
    </row>
    <row r="194">
      <c r="A194" s="6" t="n"/>
      <c r="B194" s="9">
        <f>IF($A194="","",YEAR($A194))</f>
        <v/>
      </c>
      <c r="C194" s="5" t="n"/>
      <c r="D194" s="9">
        <f>IFERROR(VLOOKUP($C194,ANIMALS!$A$2:$T$61,8,FALSE),"")</f>
        <v/>
      </c>
      <c r="E194" s="5" t="n"/>
      <c r="F194" s="5" t="n"/>
      <c r="G194" s="5" t="n"/>
      <c r="H194" s="5" t="n"/>
    </row>
    <row r="195">
      <c r="A195" s="6" t="n"/>
      <c r="B195" s="9">
        <f>IF($A195="","",YEAR($A195))</f>
        <v/>
      </c>
      <c r="C195" s="5" t="n"/>
      <c r="D195" s="9">
        <f>IFERROR(VLOOKUP($C195,ANIMALS!$A$2:$T$61,8,FALSE),"")</f>
        <v/>
      </c>
      <c r="E195" s="5" t="n"/>
      <c r="F195" s="5" t="n"/>
      <c r="G195" s="5" t="n"/>
      <c r="H195" s="5" t="n"/>
    </row>
    <row r="196">
      <c r="A196" s="6" t="n"/>
      <c r="B196" s="9">
        <f>IF($A196="","",YEAR($A196))</f>
        <v/>
      </c>
      <c r="C196" s="5" t="n"/>
      <c r="D196" s="9">
        <f>IFERROR(VLOOKUP($C196,ANIMALS!$A$2:$T$61,8,FALSE),"")</f>
        <v/>
      </c>
      <c r="E196" s="5" t="n"/>
      <c r="F196" s="5" t="n"/>
      <c r="G196" s="5" t="n"/>
      <c r="H196" s="5" t="n"/>
    </row>
    <row r="197">
      <c r="A197" s="6" t="n"/>
      <c r="B197" s="9">
        <f>IF($A197="","",YEAR($A197))</f>
        <v/>
      </c>
      <c r="C197" s="5" t="n"/>
      <c r="D197" s="9">
        <f>IFERROR(VLOOKUP($C197,ANIMALS!$A$2:$T$61,8,FALSE),"")</f>
        <v/>
      </c>
      <c r="E197" s="5" t="n"/>
      <c r="F197" s="5" t="n"/>
      <c r="G197" s="5" t="n"/>
      <c r="H197" s="5" t="n"/>
    </row>
    <row r="198">
      <c r="A198" s="6" t="n"/>
      <c r="B198" s="9">
        <f>IF($A198="","",YEAR($A198))</f>
        <v/>
      </c>
      <c r="C198" s="5" t="n"/>
      <c r="D198" s="9">
        <f>IFERROR(VLOOKUP($C198,ANIMALS!$A$2:$T$61,8,FALSE),"")</f>
        <v/>
      </c>
      <c r="E198" s="5" t="n"/>
      <c r="F198" s="5" t="n"/>
      <c r="G198" s="5" t="n"/>
      <c r="H198" s="5" t="n"/>
    </row>
    <row r="199">
      <c r="A199" s="6" t="n"/>
      <c r="B199" s="9">
        <f>IF($A199="","",YEAR($A199))</f>
        <v/>
      </c>
      <c r="C199" s="5" t="n"/>
      <c r="D199" s="9">
        <f>IFERROR(VLOOKUP($C199,ANIMALS!$A$2:$T$61,8,FALSE),"")</f>
        <v/>
      </c>
      <c r="E199" s="5" t="n"/>
      <c r="F199" s="5" t="n"/>
      <c r="G199" s="5" t="n"/>
      <c r="H199" s="5" t="n"/>
    </row>
    <row r="200">
      <c r="A200" s="6" t="n"/>
      <c r="B200" s="9">
        <f>IF($A200="","",YEAR($A200))</f>
        <v/>
      </c>
      <c r="C200" s="5" t="n"/>
      <c r="D200" s="9">
        <f>IFERROR(VLOOKUP($C200,ANIMALS!$A$2:$T$61,8,FALSE),"")</f>
        <v/>
      </c>
      <c r="E200" s="5" t="n"/>
      <c r="F200" s="5" t="n"/>
      <c r="G200" s="5" t="n"/>
      <c r="H200" s="5" t="n"/>
    </row>
    <row r="201">
      <c r="A201" s="6" t="inlineStr"/>
      <c r="B201" s="9">
        <f>IF($A201="","",YEAR($A201))</f>
        <v/>
      </c>
      <c r="C201" s="5" t="inlineStr"/>
      <c r="D201" s="9">
        <f>IFERROR(VLOOKUP($C201,ANIMALS!$A$2:$T$61,8,FALSE),"")</f>
        <v/>
      </c>
      <c r="E201" s="5" t="inlineStr"/>
      <c r="F201" s="5" t="inlineStr"/>
      <c r="G201" s="5" t="inlineStr"/>
      <c r="H201" s="5" t="inlineStr"/>
    </row>
    <row r="202">
      <c r="A202" t="inlineStr">
        <is>
          <t>2026-01-06</t>
        </is>
      </c>
      <c r="C202" t="inlineStr">
        <is>
          <t>TAG_02241</t>
        </is>
      </c>
      <c r="E202" t="inlineStr">
        <is>
          <t>Weight</t>
        </is>
      </c>
      <c r="F202" t="n">
        <v>150</v>
      </c>
      <c r="G202" t="inlineStr">
        <is>
          <t>lb</t>
        </is>
      </c>
      <c r="H202" t="inlineStr">
        <is>
          <t>From Manatee Creek - 2241 (e).csv (date unknown)</t>
        </is>
      </c>
    </row>
    <row r="203">
      <c r="A203" t="inlineStr">
        <is>
          <t>2026-01-06</t>
        </is>
      </c>
      <c r="C203" t="inlineStr">
        <is>
          <t>TAG_02241</t>
        </is>
      </c>
      <c r="E203" t="inlineStr">
        <is>
          <t>Expected wt (EWE)</t>
        </is>
      </c>
      <c r="F203" t="n">
        <v>0</v>
      </c>
      <c r="G203" t="inlineStr">
        <is>
          <t>lb</t>
        </is>
      </c>
      <c r="H203" t="inlineStr">
        <is>
          <t>From Manatee Creek - 2241 (e).csv</t>
        </is>
      </c>
    </row>
    <row r="204">
      <c r="A204" t="inlineStr">
        <is>
          <t>2026-01-06</t>
        </is>
      </c>
      <c r="C204" t="inlineStr">
        <is>
          <t>TAG_02241</t>
        </is>
      </c>
      <c r="E204" t="inlineStr">
        <is>
          <t>Expected wt (RAM)</t>
        </is>
      </c>
      <c r="F204" t="n">
        <v>0</v>
      </c>
      <c r="G204" t="inlineStr">
        <is>
          <t>lb</t>
        </is>
      </c>
      <c r="H204" t="inlineStr">
        <is>
          <t>From Manatee Creek - 2241 (e).csv</t>
        </is>
      </c>
    </row>
    <row r="205">
      <c r="A205" t="inlineStr">
        <is>
          <t>2026-01-06</t>
        </is>
      </c>
      <c r="C205" t="inlineStr">
        <is>
          <t>KAT_X_AWASSI</t>
        </is>
      </c>
      <c r="E205" t="inlineStr">
        <is>
          <t>Expected wt (EWE)</t>
        </is>
      </c>
      <c r="F205" t="n">
        <v>155.2</v>
      </c>
      <c r="G205" t="inlineStr">
        <is>
          <t>lb</t>
        </is>
      </c>
      <c r="H205" t="inlineStr">
        <is>
          <t>From Manatee Creek - Buck (Kat x Awassi).csv</t>
        </is>
      </c>
    </row>
    <row r="206">
      <c r="A206" t="inlineStr">
        <is>
          <t>2026-01-06</t>
        </is>
      </c>
      <c r="C206" t="inlineStr">
        <is>
          <t>KAT_X_AWASSI</t>
        </is>
      </c>
      <c r="E206" t="inlineStr">
        <is>
          <t>Expected wt (RAM)</t>
        </is>
      </c>
      <c r="F206" t="n">
        <v>212</v>
      </c>
      <c r="G206" t="inlineStr">
        <is>
          <t>lb</t>
        </is>
      </c>
      <c r="H206" t="inlineStr">
        <is>
          <t>From Manatee Creek - Buck (Kat x Awassi).csv</t>
        </is>
      </c>
    </row>
    <row r="207">
      <c r="A207" t="inlineStr">
        <is>
          <t>2026-01-06</t>
        </is>
      </c>
      <c r="C207" t="inlineStr">
        <is>
          <t>OAV_2223_2</t>
        </is>
      </c>
      <c r="E207" t="inlineStr">
        <is>
          <t>Expected wt (EWE)</t>
        </is>
      </c>
      <c r="F207" t="n">
        <v>0</v>
      </c>
      <c r="G207" t="inlineStr">
        <is>
          <t>lb</t>
        </is>
      </c>
      <c r="H207" t="inlineStr">
        <is>
          <t>From Manatee Creek - OAV 2223 (r) (Kelsier).csv</t>
        </is>
      </c>
    </row>
    <row r="208">
      <c r="A208" t="inlineStr">
        <is>
          <t>2026-01-06</t>
        </is>
      </c>
      <c r="C208" t="inlineStr">
        <is>
          <t>OAV_2223_2</t>
        </is>
      </c>
      <c r="E208" t="inlineStr">
        <is>
          <t>Expected wt (RAM)</t>
        </is>
      </c>
      <c r="F208" t="n">
        <v>0</v>
      </c>
      <c r="G208" t="inlineStr">
        <is>
          <t>lb</t>
        </is>
      </c>
      <c r="H208" t="inlineStr">
        <is>
          <t>From Manatee Creek - OAV 2223 (r) (Kelsier).csv</t>
        </is>
      </c>
    </row>
    <row r="209">
      <c r="A209" t="inlineStr">
        <is>
          <t>2026-01-06</t>
        </is>
      </c>
      <c r="C209" t="inlineStr">
        <is>
          <t>OAV_2223_2</t>
        </is>
      </c>
      <c r="E209" t="inlineStr">
        <is>
          <t>ADG</t>
        </is>
      </c>
      <c r="F209" t="n">
        <v>0.36</v>
      </c>
      <c r="G209" t="inlineStr">
        <is>
          <t>lb/day</t>
        </is>
      </c>
      <c r="H209" t="inlineStr">
        <is>
          <t>From Manatee Creek - OAV 2223 (r) (Kelsier).csv (UF/NSIP table)</t>
        </is>
      </c>
    </row>
    <row r="210">
      <c r="A210" t="inlineStr">
        <is>
          <t>2026-01-06</t>
        </is>
      </c>
      <c r="C210" t="inlineStr">
        <is>
          <t>OAV_2223_2</t>
        </is>
      </c>
      <c r="E210" t="inlineStr">
        <is>
          <t>WDA</t>
        </is>
      </c>
      <c r="F210" t="n">
        <v>0.51</v>
      </c>
      <c r="G210" t="inlineStr">
        <is>
          <t>lb/day</t>
        </is>
      </c>
      <c r="H210" t="inlineStr">
        <is>
          <t>From Manatee Creek - OAV 2223 (r) (Kelsier).csv (UF/NSIP table)</t>
        </is>
      </c>
    </row>
    <row r="211">
      <c r="A211" t="inlineStr">
        <is>
          <t>2026-01-06</t>
        </is>
      </c>
      <c r="C211" t="inlineStr">
        <is>
          <t>OAV_2223_2</t>
        </is>
      </c>
      <c r="E211" t="inlineStr">
        <is>
          <t>Adj FEC</t>
        </is>
      </c>
      <c r="F211" t="n">
        <v>157</v>
      </c>
      <c r="G211" t="inlineStr">
        <is>
          <t>eggs/g</t>
        </is>
      </c>
      <c r="H211" t="inlineStr">
        <is>
          <t>From Manatee Creek - OAV 2223 (r) (Kelsier).csv (UF/NSIP table)</t>
        </is>
      </c>
    </row>
    <row r="212">
      <c r="A212" t="inlineStr">
        <is>
          <t>2026-01-06</t>
        </is>
      </c>
      <c r="C212" t="inlineStr">
        <is>
          <t>OAV_2223_2</t>
        </is>
      </c>
      <c r="E212" t="inlineStr">
        <is>
          <t>Avg FEC (all tests)</t>
        </is>
      </c>
      <c r="F212" t="n">
        <v>138.8888889</v>
      </c>
      <c r="G212" t="inlineStr">
        <is>
          <t>eggs/g</t>
        </is>
      </c>
      <c r="H212" t="inlineStr">
        <is>
          <t>From Manatee Creek - OAV 2223 (r) (Kelsier).csv</t>
        </is>
      </c>
    </row>
    <row r="213">
      <c r="A213" t="inlineStr">
        <is>
          <t>2023-02-18</t>
        </is>
      </c>
      <c r="C213" t="inlineStr">
        <is>
          <t>OAV_2223_2</t>
        </is>
      </c>
      <c r="E213" t="inlineStr">
        <is>
          <t>FEC</t>
        </is>
      </c>
      <c r="F213" t="n">
        <v>100</v>
      </c>
      <c r="G213" t="inlineStr">
        <is>
          <t>eggs/g</t>
        </is>
      </c>
      <c r="H213" t="inlineStr">
        <is>
          <t>From Manatee Creek - OAV 2223 (r) (Kelsier).csv</t>
        </is>
      </c>
    </row>
    <row r="214">
      <c r="A214" t="inlineStr">
        <is>
          <t>2023-04-06</t>
        </is>
      </c>
      <c r="C214" t="inlineStr">
        <is>
          <t>OAV_2223_2</t>
        </is>
      </c>
      <c r="E214" t="inlineStr">
        <is>
          <t>FEC</t>
        </is>
      </c>
      <c r="F214" t="n">
        <v>300</v>
      </c>
      <c r="G214" t="inlineStr">
        <is>
          <t>eggs/g</t>
        </is>
      </c>
      <c r="H214" t="inlineStr">
        <is>
          <t>From Manatee Creek - OAV 2223 (r) (Kelsier).csv</t>
        </is>
      </c>
    </row>
    <row r="215">
      <c r="A215" t="inlineStr">
        <is>
          <t>2023-05-25</t>
        </is>
      </c>
      <c r="C215" t="inlineStr">
        <is>
          <t>OAV_2223_2</t>
        </is>
      </c>
      <c r="E215" t="inlineStr">
        <is>
          <t>FEC</t>
        </is>
      </c>
      <c r="F215" t="n">
        <v>350</v>
      </c>
      <c r="G215" t="inlineStr">
        <is>
          <t>eggs/g</t>
        </is>
      </c>
      <c r="H215" t="inlineStr">
        <is>
          <t>From Manatee Creek - OAV 2223 (r) (Kelsier).csv</t>
        </is>
      </c>
    </row>
    <row r="216">
      <c r="A216" t="inlineStr">
        <is>
          <t>2023-06-15</t>
        </is>
      </c>
      <c r="C216" t="inlineStr">
        <is>
          <t>OAV_2223_2</t>
        </is>
      </c>
      <c r="E216" t="inlineStr">
        <is>
          <t>FEC</t>
        </is>
      </c>
      <c r="F216" t="n">
        <v>0</v>
      </c>
      <c r="G216" t="inlineStr">
        <is>
          <t>eggs/g</t>
        </is>
      </c>
      <c r="H216" t="inlineStr">
        <is>
          <t>From Manatee Creek - OAV 2223 (r) (Kelsier).csv</t>
        </is>
      </c>
    </row>
    <row r="217">
      <c r="A217" t="inlineStr">
        <is>
          <t>2023-06-29</t>
        </is>
      </c>
      <c r="C217" t="inlineStr">
        <is>
          <t>OAV_2223_2</t>
        </is>
      </c>
      <c r="E217" t="inlineStr">
        <is>
          <t>FEC</t>
        </is>
      </c>
      <c r="F217" t="n">
        <v>0</v>
      </c>
      <c r="G217" t="inlineStr">
        <is>
          <t>eggs/g</t>
        </is>
      </c>
      <c r="H217" t="inlineStr">
        <is>
          <t>From Manatee Creek - OAV 2223 (r) (Kelsier).csv</t>
        </is>
      </c>
    </row>
    <row r="218">
      <c r="A218" t="inlineStr">
        <is>
          <t>2023-07-13</t>
        </is>
      </c>
      <c r="C218" t="inlineStr">
        <is>
          <t>OAV_2223_2</t>
        </is>
      </c>
      <c r="E218" t="inlineStr">
        <is>
          <t>FEC</t>
        </is>
      </c>
      <c r="F218" t="n">
        <v>50</v>
      </c>
      <c r="G218" t="inlineStr">
        <is>
          <t>eggs/g</t>
        </is>
      </c>
      <c r="H218" t="inlineStr">
        <is>
          <t>From Manatee Creek - OAV 2223 (r) (Kelsier).csv</t>
        </is>
      </c>
    </row>
    <row r="219">
      <c r="A219" t="inlineStr">
        <is>
          <t>2023-07-27</t>
        </is>
      </c>
      <c r="C219" t="inlineStr">
        <is>
          <t>OAV_2223_2</t>
        </is>
      </c>
      <c r="E219" t="inlineStr">
        <is>
          <t>FEC</t>
        </is>
      </c>
      <c r="F219" t="n">
        <v>200</v>
      </c>
      <c r="G219" t="inlineStr">
        <is>
          <t>eggs/g</t>
        </is>
      </c>
      <c r="H219" t="inlineStr">
        <is>
          <t>From Manatee Creek - OAV 2223 (r) (Kelsier).csv</t>
        </is>
      </c>
    </row>
    <row r="220">
      <c r="A220" t="inlineStr">
        <is>
          <t>2023-08-10</t>
        </is>
      </c>
      <c r="C220" t="inlineStr">
        <is>
          <t>OAV_2223_2</t>
        </is>
      </c>
      <c r="E220" t="inlineStr">
        <is>
          <t>FEC</t>
        </is>
      </c>
      <c r="F220" t="n">
        <v>50</v>
      </c>
      <c r="G220" t="inlineStr">
        <is>
          <t>eggs/g</t>
        </is>
      </c>
      <c r="H220" t="inlineStr">
        <is>
          <t>From Manatee Creek - OAV 2223 (r) (Kelsier).csv</t>
        </is>
      </c>
    </row>
    <row r="221">
      <c r="A221" t="inlineStr">
        <is>
          <t>2023-08-24</t>
        </is>
      </c>
      <c r="C221" t="inlineStr">
        <is>
          <t>OAV_2223_2</t>
        </is>
      </c>
      <c r="E221" t="inlineStr">
        <is>
          <t>FEC</t>
        </is>
      </c>
      <c r="F221" t="n">
        <v>200</v>
      </c>
      <c r="G221" t="inlineStr">
        <is>
          <t>eggs/g</t>
        </is>
      </c>
      <c r="H221" t="inlineStr">
        <is>
          <t>From Manatee Creek - OAV 2223 (r) (Kelsier).csv</t>
        </is>
      </c>
    </row>
    <row r="222">
      <c r="A222" t="inlineStr">
        <is>
          <t>2026-01-06</t>
        </is>
      </c>
      <c r="C222" t="inlineStr">
        <is>
          <t>BROKEN_TAIL</t>
        </is>
      </c>
      <c r="E222" t="inlineStr">
        <is>
          <t>Expected wt (EWE)</t>
        </is>
      </c>
      <c r="F222" t="n">
        <v>176.5625</v>
      </c>
      <c r="G222" t="inlineStr">
        <is>
          <t>lb</t>
        </is>
      </c>
      <c r="H222" t="inlineStr">
        <is>
          <t>From Manatee Creek - Broken Tail.csv</t>
        </is>
      </c>
    </row>
    <row r="223">
      <c r="A223" t="inlineStr">
        <is>
          <t>2026-01-06</t>
        </is>
      </c>
      <c r="C223" t="inlineStr">
        <is>
          <t>BROKEN_TAIL</t>
        </is>
      </c>
      <c r="E223" t="inlineStr">
        <is>
          <t>Expected wt (RAM)</t>
        </is>
      </c>
      <c r="F223" t="n">
        <v>270.78125</v>
      </c>
      <c r="G223" t="inlineStr">
        <is>
          <t>lb</t>
        </is>
      </c>
      <c r="H223" t="inlineStr">
        <is>
          <t>From Manatee Creek - Broken Tail.csv</t>
        </is>
      </c>
    </row>
    <row r="224">
      <c r="A224" t="inlineStr">
        <is>
          <t>2026-01-06</t>
        </is>
      </c>
      <c r="C224" t="inlineStr">
        <is>
          <t>FL51870_0502_PEN_1_2</t>
        </is>
      </c>
      <c r="E224" t="inlineStr">
        <is>
          <t>Weight</t>
        </is>
      </c>
      <c r="F224" t="n">
        <v>285.61</v>
      </c>
      <c r="G224" t="inlineStr">
        <is>
          <t>lb</t>
        </is>
      </c>
      <c r="H224" t="inlineStr">
        <is>
          <t>From Manatee Creek - GG (Gentle Giant).csv (date unknown)</t>
        </is>
      </c>
    </row>
    <row r="225">
      <c r="A225" t="inlineStr">
        <is>
          <t>2026-01-06</t>
        </is>
      </c>
      <c r="C225" t="inlineStr">
        <is>
          <t>FL51870_0502_PEN_1_2</t>
        </is>
      </c>
      <c r="E225" t="inlineStr">
        <is>
          <t>Expected wt (EWE)</t>
        </is>
      </c>
      <c r="F225" t="n">
        <v>285.61</v>
      </c>
      <c r="G225" t="inlineStr">
        <is>
          <t>lb</t>
        </is>
      </c>
      <c r="H225" t="inlineStr">
        <is>
          <t>From Manatee Creek - GG (Gentle Giant).csv</t>
        </is>
      </c>
    </row>
    <row r="226">
      <c r="A226" t="inlineStr">
        <is>
          <t>2026-01-06</t>
        </is>
      </c>
      <c r="C226" t="inlineStr">
        <is>
          <t>FL51870_0502_PEN_1_2</t>
        </is>
      </c>
      <c r="E226" t="inlineStr">
        <is>
          <t>Expected wt (RAM)</t>
        </is>
      </c>
      <c r="F226" t="n">
        <v>385</v>
      </c>
      <c r="G226" t="inlineStr">
        <is>
          <t>lb</t>
        </is>
      </c>
      <c r="H226" t="inlineStr">
        <is>
          <t>From Manatee Creek - GG (Gentle Giant).csv</t>
        </is>
      </c>
    </row>
    <row r="227">
      <c r="A227" t="inlineStr">
        <is>
          <t>2026-01-06</t>
        </is>
      </c>
      <c r="C227" t="inlineStr">
        <is>
          <t>OAV_2222_2</t>
        </is>
      </c>
      <c r="E227" t="inlineStr">
        <is>
          <t>Weight</t>
        </is>
      </c>
      <c r="F227" t="n">
        <v>285.61</v>
      </c>
      <c r="G227" t="inlineStr">
        <is>
          <t>lb</t>
        </is>
      </c>
      <c r="H227" t="inlineStr">
        <is>
          <t>From Manatee Creek - OAV 2222(e).csv (date unknown)</t>
        </is>
      </c>
    </row>
    <row r="228">
      <c r="A228" t="inlineStr">
        <is>
          <t>2026-01-06</t>
        </is>
      </c>
      <c r="C228" t="inlineStr">
        <is>
          <t>OAV_2222_2</t>
        </is>
      </c>
      <c r="E228" t="inlineStr">
        <is>
          <t>Expected wt (EWE)</t>
        </is>
      </c>
      <c r="F228" t="n">
        <v>140</v>
      </c>
      <c r="G228" t="inlineStr">
        <is>
          <t>lb</t>
        </is>
      </c>
      <c r="H228" t="inlineStr">
        <is>
          <t>From Manatee Creek - OAV 2222(e).csv</t>
        </is>
      </c>
    </row>
    <row r="229">
      <c r="A229" t="inlineStr">
        <is>
          <t>2026-01-06</t>
        </is>
      </c>
      <c r="C229" t="inlineStr">
        <is>
          <t>OAV_2222_2</t>
        </is>
      </c>
      <c r="E229" t="inlineStr">
        <is>
          <t>Expected wt (RAM)</t>
        </is>
      </c>
      <c r="F229" t="n">
        <v>250</v>
      </c>
      <c r="G229" t="inlineStr">
        <is>
          <t>lb</t>
        </is>
      </c>
      <c r="H229" t="inlineStr">
        <is>
          <t>From Manatee Creek - OAV 2222(e).csv</t>
        </is>
      </c>
    </row>
    <row r="230">
      <c r="A230" t="inlineStr">
        <is>
          <t>2026-01-06</t>
        </is>
      </c>
      <c r="C230" t="inlineStr">
        <is>
          <t>SERENDIPITY</t>
        </is>
      </c>
      <c r="E230" t="inlineStr">
        <is>
          <t>Expected wt (EWE)</t>
        </is>
      </c>
      <c r="F230" t="n">
        <v>137.5</v>
      </c>
      <c r="G230" t="inlineStr">
        <is>
          <t>lb</t>
        </is>
      </c>
      <c r="H230" t="inlineStr">
        <is>
          <t>From Manatee Creek - Serendipity.csv</t>
        </is>
      </c>
    </row>
    <row r="231">
      <c r="A231" t="inlineStr">
        <is>
          <t>2026-01-06</t>
        </is>
      </c>
      <c r="C231" t="inlineStr">
        <is>
          <t>SERENDIPITY</t>
        </is>
      </c>
      <c r="E231" t="inlineStr">
        <is>
          <t>Expected wt (RAM)</t>
        </is>
      </c>
      <c r="F231" t="n">
        <v>222.75</v>
      </c>
      <c r="G231" t="inlineStr">
        <is>
          <t>lb</t>
        </is>
      </c>
      <c r="H231" t="inlineStr">
        <is>
          <t>From Manatee Creek - Serendipity.csv</t>
        </is>
      </c>
    </row>
    <row r="232">
      <c r="A232" t="inlineStr">
        <is>
          <t>2026-01-06</t>
        </is>
      </c>
      <c r="C232" t="inlineStr">
        <is>
          <t>NORI_0029</t>
        </is>
      </c>
      <c r="E232" t="inlineStr">
        <is>
          <t>Weight</t>
        </is>
      </c>
      <c r="F232" t="n">
        <v>138.83</v>
      </c>
      <c r="G232" t="inlineStr">
        <is>
          <t>lb</t>
        </is>
      </c>
      <c r="H232" t="inlineStr">
        <is>
          <t>From Manatee Creek - Nori.csv (date unknown)</t>
        </is>
      </c>
    </row>
    <row r="233">
      <c r="A233" t="inlineStr">
        <is>
          <t>2026-01-06</t>
        </is>
      </c>
      <c r="C233" t="inlineStr">
        <is>
          <t>NORI_0029</t>
        </is>
      </c>
      <c r="E233" t="inlineStr">
        <is>
          <t>Expected wt (EWE)</t>
        </is>
      </c>
      <c r="F233" t="n">
        <v>138.83</v>
      </c>
      <c r="G233" t="inlineStr">
        <is>
          <t>lb</t>
        </is>
      </c>
      <c r="H233" t="inlineStr">
        <is>
          <t>From Manatee Creek - Nori.csv</t>
        </is>
      </c>
    </row>
    <row r="234">
      <c r="A234" t="inlineStr">
        <is>
          <t>2026-01-06</t>
        </is>
      </c>
      <c r="C234" t="inlineStr">
        <is>
          <t>NORI_0029</t>
        </is>
      </c>
      <c r="E234" t="inlineStr">
        <is>
          <t>Expected wt (RAM)</t>
        </is>
      </c>
      <c r="F234" t="n">
        <v>217.5</v>
      </c>
      <c r="G234" t="inlineStr">
        <is>
          <t>lb</t>
        </is>
      </c>
      <c r="H234" t="inlineStr">
        <is>
          <t>From Manatee Creek - Nori.csv</t>
        </is>
      </c>
    </row>
    <row r="235">
      <c r="A235" t="inlineStr">
        <is>
          <t>2026-01-06</t>
        </is>
      </c>
      <c r="C235" t="inlineStr">
        <is>
          <t>ELSIE</t>
        </is>
      </c>
      <c r="E235" t="inlineStr">
        <is>
          <t>Expected wt (EWE)</t>
        </is>
      </c>
      <c r="F235" t="n">
        <v>140</v>
      </c>
      <c r="G235" t="inlineStr">
        <is>
          <t>lb</t>
        </is>
      </c>
      <c r="H235" t="inlineStr">
        <is>
          <t>From Manatee Creek - Elsie (E).csv</t>
        </is>
      </c>
    </row>
    <row r="236">
      <c r="A236" t="inlineStr">
        <is>
          <t>2026-01-06</t>
        </is>
      </c>
      <c r="C236" t="inlineStr">
        <is>
          <t>ELSIE</t>
        </is>
      </c>
      <c r="E236" t="inlineStr">
        <is>
          <t>Expected wt (RAM)</t>
        </is>
      </c>
      <c r="F236" t="n">
        <v>232.34375</v>
      </c>
      <c r="G236" t="inlineStr">
        <is>
          <t>lb</t>
        </is>
      </c>
      <c r="H236" t="inlineStr">
        <is>
          <t>From Manatee Creek - Elsie (E).csv</t>
        </is>
      </c>
    </row>
    <row r="237">
      <c r="A237" t="inlineStr">
        <is>
          <t>2026-01-06</t>
        </is>
      </c>
      <c r="C237" t="inlineStr">
        <is>
          <t>ANIMAL</t>
        </is>
      </c>
      <c r="E237" t="inlineStr">
        <is>
          <t>Expected wt (EWE)</t>
        </is>
      </c>
      <c r="F237" t="n">
        <v>144.6875</v>
      </c>
      <c r="G237" t="inlineStr">
        <is>
          <t>lb</t>
        </is>
      </c>
      <c r="H237" t="inlineStr">
        <is>
          <t>From Manatee Creek - Little Daisy(e).csv</t>
        </is>
      </c>
    </row>
    <row r="238">
      <c r="A238" t="inlineStr">
        <is>
          <t>2026-01-06</t>
        </is>
      </c>
      <c r="C238" t="inlineStr">
        <is>
          <t>ANIMAL</t>
        </is>
      </c>
      <c r="E238" t="inlineStr">
        <is>
          <t>Expected wt (RAM)</t>
        </is>
      </c>
      <c r="F238" t="n">
        <v>270.9140625</v>
      </c>
      <c r="G238" t="inlineStr">
        <is>
          <t>lb</t>
        </is>
      </c>
      <c r="H238" t="inlineStr">
        <is>
          <t>From Manatee Creek - Little Daisy(e).csv</t>
        </is>
      </c>
    </row>
    <row r="239">
      <c r="A239" t="inlineStr">
        <is>
          <t>2026-01-07</t>
        </is>
      </c>
      <c r="C239" t="inlineStr">
        <is>
          <t>BANANA</t>
        </is>
      </c>
      <c r="E239" t="inlineStr">
        <is>
          <t>Expected wt (EWE)</t>
        </is>
      </c>
      <c r="F239" t="n">
        <v>162.5</v>
      </c>
      <c r="G239" t="inlineStr">
        <is>
          <t>lb</t>
        </is>
      </c>
      <c r="H239" t="inlineStr">
        <is>
          <t>From Manatee Creek - Banana.csv</t>
        </is>
      </c>
    </row>
    <row r="240">
      <c r="A240" t="inlineStr">
        <is>
          <t>2026-01-07</t>
        </is>
      </c>
      <c r="C240" t="inlineStr">
        <is>
          <t>BANANA</t>
        </is>
      </c>
      <c r="E240" t="inlineStr">
        <is>
          <t>Expected wt (RAM)</t>
        </is>
      </c>
      <c r="F240" t="n">
        <v>259.375</v>
      </c>
      <c r="G240" t="inlineStr">
        <is>
          <t>lb</t>
        </is>
      </c>
      <c r="H240" t="inlineStr">
        <is>
          <t>From Manatee Creek - Banana.csv</t>
        </is>
      </c>
    </row>
    <row r="241">
      <c r="A241" t="inlineStr">
        <is>
          <t>2026-01-07</t>
        </is>
      </c>
      <c r="C241" t="inlineStr">
        <is>
          <t>BLACK_SPOT_ON_EAR_DAUGHTER</t>
        </is>
      </c>
      <c r="E241" t="inlineStr">
        <is>
          <t>Expected wt (EWE)</t>
        </is>
      </c>
      <c r="F241" t="n">
        <v>182</v>
      </c>
      <c r="G241" t="inlineStr">
        <is>
          <t>lb</t>
        </is>
      </c>
      <c r="H241" t="inlineStr">
        <is>
          <t>From Manatee Creek - Black Spot on Ear Daughter (e).csv</t>
        </is>
      </c>
    </row>
    <row r="242">
      <c r="A242" t="inlineStr">
        <is>
          <t>2026-01-07</t>
        </is>
      </c>
      <c r="C242" t="inlineStr">
        <is>
          <t>BLACK_SPOT_ON_EAR_DAUGHTER</t>
        </is>
      </c>
      <c r="E242" t="inlineStr">
        <is>
          <t>Expected wt (RAM)</t>
        </is>
      </c>
      <c r="F242" t="n">
        <v>280.5</v>
      </c>
      <c r="G242" t="inlineStr">
        <is>
          <t>lb</t>
        </is>
      </c>
      <c r="H242" t="inlineStr">
        <is>
          <t>From Manatee Creek - Black Spot on Ear Daughter (e).csv</t>
        </is>
      </c>
    </row>
    <row r="243">
      <c r="A243" t="inlineStr">
        <is>
          <t>2026-01-07</t>
        </is>
      </c>
      <c r="C243" t="inlineStr">
        <is>
          <t>BLACKSPOTONEAR</t>
        </is>
      </c>
      <c r="E243" t="inlineStr">
        <is>
          <t>Expected wt (EWE)</t>
        </is>
      </c>
      <c r="F243" t="n">
        <v>166.4</v>
      </c>
      <c r="G243" t="inlineStr">
        <is>
          <t>lb</t>
        </is>
      </c>
      <c r="H243" t="inlineStr">
        <is>
          <t>From Manatee Creek - Black Spot on Ear (E).csv</t>
        </is>
      </c>
    </row>
    <row r="244">
      <c r="A244" t="inlineStr">
        <is>
          <t>2026-01-07</t>
        </is>
      </c>
      <c r="C244" t="inlineStr">
        <is>
          <t>BLACKSPOTONEAR</t>
        </is>
      </c>
      <c r="E244" t="inlineStr">
        <is>
          <t>Expected wt (RAM)</t>
        </is>
      </c>
      <c r="F244" t="n">
        <v>263.6</v>
      </c>
      <c r="G244" t="inlineStr">
        <is>
          <t>lb</t>
        </is>
      </c>
      <c r="H244" t="inlineStr">
        <is>
          <t>From Manatee Creek - Black Spot on Ear (E).csv</t>
        </is>
      </c>
    </row>
    <row r="245">
      <c r="A245" t="inlineStr">
        <is>
          <t>2026-01-07</t>
        </is>
      </c>
      <c r="C245" t="inlineStr">
        <is>
          <t>BROKEN_TAIL</t>
        </is>
      </c>
      <c r="E245" t="inlineStr">
        <is>
          <t>Expected wt (EWE)</t>
        </is>
      </c>
      <c r="F245" t="n">
        <v>176.5625</v>
      </c>
      <c r="G245" t="inlineStr">
        <is>
          <t>lb</t>
        </is>
      </c>
      <c r="H245" t="inlineStr">
        <is>
          <t>From Manatee Creek - Broken Tail.csv</t>
        </is>
      </c>
    </row>
    <row r="246">
      <c r="A246" t="inlineStr">
        <is>
          <t>2026-01-07</t>
        </is>
      </c>
      <c r="C246" t="inlineStr">
        <is>
          <t>BROKEN_TAIL</t>
        </is>
      </c>
      <c r="E246" t="inlineStr">
        <is>
          <t>Expected wt (RAM)</t>
        </is>
      </c>
      <c r="F246" t="n">
        <v>270.78125</v>
      </c>
      <c r="G246" t="inlineStr">
        <is>
          <t>lb</t>
        </is>
      </c>
      <c r="H246" t="inlineStr">
        <is>
          <t>From Manatee Creek - Broken Tail.csv</t>
        </is>
      </c>
    </row>
    <row r="247">
      <c r="A247" t="inlineStr">
        <is>
          <t>2026-01-07</t>
        </is>
      </c>
      <c r="C247" t="inlineStr">
        <is>
          <t>SMORE</t>
        </is>
      </c>
      <c r="E247" t="inlineStr">
        <is>
          <t>Expected wt (EWE)</t>
        </is>
      </c>
      <c r="F247" t="n">
        <v>110</v>
      </c>
      <c r="G247" t="inlineStr">
        <is>
          <t>lb</t>
        </is>
      </c>
      <c r="H247" t="inlineStr">
        <is>
          <t>From Manatee Creek - S'more.csv</t>
        </is>
      </c>
    </row>
    <row r="248">
      <c r="A248" t="inlineStr">
        <is>
          <t>2026-01-07</t>
        </is>
      </c>
      <c r="C248" t="inlineStr">
        <is>
          <t>SMORE</t>
        </is>
      </c>
      <c r="E248" t="inlineStr">
        <is>
          <t>Expected wt (RAM)</t>
        </is>
      </c>
      <c r="F248" t="n">
        <v>225</v>
      </c>
      <c r="G248" t="inlineStr">
        <is>
          <t>lb</t>
        </is>
      </c>
      <c r="H248" t="inlineStr">
        <is>
          <t>From Manatee Creek - S'more.csv</t>
        </is>
      </c>
    </row>
    <row r="249">
      <c r="A249" t="inlineStr">
        <is>
          <t>2026-01-07</t>
        </is>
      </c>
      <c r="C249" t="inlineStr">
        <is>
          <t>FM</t>
        </is>
      </c>
      <c r="E249" t="inlineStr">
        <is>
          <t>Expected wt (EWE)</t>
        </is>
      </c>
      <c r="F249" t="n">
        <v>267.81</v>
      </c>
      <c r="G249" t="inlineStr">
        <is>
          <t>lb</t>
        </is>
      </c>
      <c r="H249" t="inlineStr">
        <is>
          <t>From Manatee Creek - FM (E).csv</t>
        </is>
      </c>
    </row>
    <row r="250">
      <c r="A250" t="inlineStr">
        <is>
          <t>2026-01-07</t>
        </is>
      </c>
      <c r="C250" t="inlineStr">
        <is>
          <t>FM</t>
        </is>
      </c>
      <c r="E250" t="inlineStr">
        <is>
          <t>Expected wt (RAM)</t>
        </is>
      </c>
      <c r="F250" t="n">
        <v>287.5</v>
      </c>
      <c r="G250" t="inlineStr">
        <is>
          <t>lb</t>
        </is>
      </c>
      <c r="H250" t="inlineStr">
        <is>
          <t>From Manatee Creek - FM (E).csv</t>
        </is>
      </c>
    </row>
    <row r="251">
      <c r="A251" t="inlineStr">
        <is>
          <t>2026-01-07</t>
        </is>
      </c>
      <c r="C251" t="inlineStr">
        <is>
          <t>FM1</t>
        </is>
      </c>
      <c r="E251" t="inlineStr">
        <is>
          <t>Expected wt (EWE)</t>
        </is>
      </c>
      <c r="F251" t="n">
        <v>226.405</v>
      </c>
      <c r="G251" t="inlineStr">
        <is>
          <t>lb</t>
        </is>
      </c>
      <c r="H251" t="inlineStr">
        <is>
          <t>From Manatee Creek - FM1.csv</t>
        </is>
      </c>
    </row>
    <row r="252">
      <c r="A252" t="inlineStr">
        <is>
          <t>2026-01-07</t>
        </is>
      </c>
      <c r="C252" t="inlineStr">
        <is>
          <t>FM1</t>
        </is>
      </c>
      <c r="E252" t="inlineStr">
        <is>
          <t>Expected wt (RAM)</t>
        </is>
      </c>
      <c r="F252" t="n">
        <v>297.75</v>
      </c>
      <c r="G252" t="inlineStr">
        <is>
          <t>lb</t>
        </is>
      </c>
      <c r="H252" t="inlineStr">
        <is>
          <t>From Manatee Creek - FM1.csv</t>
        </is>
      </c>
    </row>
    <row r="253">
      <c r="A253" t="inlineStr">
        <is>
          <t>2026-01-07</t>
        </is>
      </c>
      <c r="C253" t="inlineStr">
        <is>
          <t>SERENDIPITY</t>
        </is>
      </c>
      <c r="E253" t="inlineStr">
        <is>
          <t>Expected wt (EWE)</t>
        </is>
      </c>
      <c r="F253" t="n">
        <v>137.5</v>
      </c>
      <c r="G253" t="inlineStr">
        <is>
          <t>lb</t>
        </is>
      </c>
      <c r="H253" t="inlineStr">
        <is>
          <t>From Manatee Creek - Serendipity (E).csv</t>
        </is>
      </c>
    </row>
    <row r="254">
      <c r="A254" t="inlineStr">
        <is>
          <t>2026-01-07</t>
        </is>
      </c>
      <c r="C254" t="inlineStr">
        <is>
          <t>SERENDIPITY</t>
        </is>
      </c>
      <c r="E254" t="inlineStr">
        <is>
          <t>Expected wt (RAM)</t>
        </is>
      </c>
      <c r="F254" t="n">
        <v>222.75</v>
      </c>
      <c r="G254" t="inlineStr">
        <is>
          <t>lb</t>
        </is>
      </c>
      <c r="H254" t="inlineStr">
        <is>
          <t>From Manatee Creek - Serendipity (E).csv</t>
        </is>
      </c>
    </row>
    <row r="255">
      <c r="A255" t="inlineStr">
        <is>
          <t>2026-01-07</t>
        </is>
      </c>
      <c r="C255" t="inlineStr">
        <is>
          <t>TAG_02241</t>
        </is>
      </c>
      <c r="E255" t="inlineStr">
        <is>
          <t>Weight</t>
        </is>
      </c>
      <c r="F255" t="n">
        <v>150</v>
      </c>
      <c r="G255" t="inlineStr">
        <is>
          <t>lb</t>
        </is>
      </c>
      <c r="H255" t="inlineStr">
        <is>
          <t>From Manatee Creek - 2241 (e).csv (date unknown)</t>
        </is>
      </c>
    </row>
    <row r="256">
      <c r="A256" t="inlineStr">
        <is>
          <t>2026-01-07</t>
        </is>
      </c>
      <c r="C256" t="inlineStr">
        <is>
          <t>TAG_02241</t>
        </is>
      </c>
      <c r="E256" t="inlineStr">
        <is>
          <t>Expected wt (EWE)</t>
        </is>
      </c>
      <c r="F256" t="n">
        <v>0</v>
      </c>
      <c r="G256" t="inlineStr">
        <is>
          <t>lb</t>
        </is>
      </c>
      <c r="H256" t="inlineStr">
        <is>
          <t>From Manatee Creek - 2241 (e).csv</t>
        </is>
      </c>
    </row>
    <row r="257">
      <c r="A257" t="inlineStr">
        <is>
          <t>2026-01-07</t>
        </is>
      </c>
      <c r="C257" t="inlineStr">
        <is>
          <t>TAG_02241</t>
        </is>
      </c>
      <c r="E257" t="inlineStr">
        <is>
          <t>Expected wt (RAM)</t>
        </is>
      </c>
      <c r="F257" t="n">
        <v>0</v>
      </c>
      <c r="G257" t="inlineStr">
        <is>
          <t>lb</t>
        </is>
      </c>
      <c r="H257" t="inlineStr">
        <is>
          <t>From Manatee Creek - 2241 (e).csv</t>
        </is>
      </c>
    </row>
    <row r="258">
      <c r="A258" t="inlineStr">
        <is>
          <t>2026-01-07</t>
        </is>
      </c>
      <c r="C258" t="inlineStr">
        <is>
          <t>OAV_2223_2</t>
        </is>
      </c>
      <c r="E258" t="inlineStr">
        <is>
          <t>Expected wt (EWE)</t>
        </is>
      </c>
      <c r="F258" t="n">
        <v>0</v>
      </c>
      <c r="G258" t="inlineStr">
        <is>
          <t>lb</t>
        </is>
      </c>
      <c r="H258" t="inlineStr">
        <is>
          <t>From Manatee Creek - OAV 2223 (r) (Kelsier).csv</t>
        </is>
      </c>
    </row>
    <row r="259">
      <c r="A259" t="inlineStr">
        <is>
          <t>2026-01-07</t>
        </is>
      </c>
      <c r="C259" t="inlineStr">
        <is>
          <t>OAV_2223_2</t>
        </is>
      </c>
      <c r="E259" t="inlineStr">
        <is>
          <t>Expected wt (RAM)</t>
        </is>
      </c>
      <c r="F259" t="n">
        <v>0</v>
      </c>
      <c r="G259" t="inlineStr">
        <is>
          <t>lb</t>
        </is>
      </c>
      <c r="H259" t="inlineStr">
        <is>
          <t>From Manatee Creek - OAV 2223 (r) (Kelsier).csv</t>
        </is>
      </c>
    </row>
    <row r="260">
      <c r="A260" t="inlineStr">
        <is>
          <t>2026-01-07</t>
        </is>
      </c>
      <c r="C260" t="inlineStr">
        <is>
          <t>OAV_2223_2</t>
        </is>
      </c>
      <c r="E260" t="inlineStr">
        <is>
          <t>ADG</t>
        </is>
      </c>
      <c r="F260" t="n">
        <v>0.36</v>
      </c>
      <c r="G260" t="inlineStr">
        <is>
          <t>lb/day</t>
        </is>
      </c>
      <c r="H260" t="inlineStr">
        <is>
          <t>From Manatee Creek - OAV 2223 (r) (Kelsier).csv (UF/NSIP table)</t>
        </is>
      </c>
    </row>
    <row r="261">
      <c r="A261" t="inlineStr">
        <is>
          <t>2026-01-07</t>
        </is>
      </c>
      <c r="C261" t="inlineStr">
        <is>
          <t>OAV_2223_2</t>
        </is>
      </c>
      <c r="E261" t="inlineStr">
        <is>
          <t>WDA</t>
        </is>
      </c>
      <c r="F261" t="n">
        <v>0.51</v>
      </c>
      <c r="G261" t="inlineStr">
        <is>
          <t>lb/day</t>
        </is>
      </c>
      <c r="H261" t="inlineStr">
        <is>
          <t>From Manatee Creek - OAV 2223 (r) (Kelsier).csv (UF/NSIP table)</t>
        </is>
      </c>
    </row>
    <row r="262">
      <c r="A262" t="inlineStr">
        <is>
          <t>2026-01-07</t>
        </is>
      </c>
      <c r="C262" t="inlineStr">
        <is>
          <t>OAV_2223_2</t>
        </is>
      </c>
      <c r="E262" t="inlineStr">
        <is>
          <t>Adj FEC</t>
        </is>
      </c>
      <c r="F262" t="n">
        <v>157</v>
      </c>
      <c r="G262" t="inlineStr">
        <is>
          <t>eggs/g</t>
        </is>
      </c>
      <c r="H262" t="inlineStr">
        <is>
          <t>From Manatee Creek - OAV 2223 (r) (Kelsier).csv</t>
        </is>
      </c>
    </row>
    <row r="263">
      <c r="A263" t="inlineStr">
        <is>
          <t>2026-01-07</t>
        </is>
      </c>
      <c r="C263" t="inlineStr">
        <is>
          <t>OAV_2223_2</t>
        </is>
      </c>
      <c r="E263" t="inlineStr">
        <is>
          <t>Avg FEC (all tests)</t>
        </is>
      </c>
      <c r="F263" t="n">
        <v>138.8888889</v>
      </c>
      <c r="G263" t="inlineStr">
        <is>
          <t>eggs/g</t>
        </is>
      </c>
      <c r="H263" t="inlineStr">
        <is>
          <t>From Manatee Creek - OAV 2223 (r) (Kelsier).csv</t>
        </is>
      </c>
    </row>
    <row r="264">
      <c r="A264" t="inlineStr">
        <is>
          <t>2023-02-18</t>
        </is>
      </c>
      <c r="C264" t="inlineStr">
        <is>
          <t>OAV_2223_2</t>
        </is>
      </c>
      <c r="E264" t="inlineStr">
        <is>
          <t>FEC</t>
        </is>
      </c>
      <c r="F264" t="n">
        <v>100</v>
      </c>
      <c r="G264" t="inlineStr">
        <is>
          <t>eggs/g</t>
        </is>
      </c>
      <c r="H264" t="inlineStr">
        <is>
          <t>From Manatee Creek - OAV 2223 (r) (Kelsier).csv</t>
        </is>
      </c>
    </row>
    <row r="265">
      <c r="A265" t="inlineStr">
        <is>
          <t>2023-04-06</t>
        </is>
      </c>
      <c r="C265" t="inlineStr">
        <is>
          <t>OAV_2223_2</t>
        </is>
      </c>
      <c r="E265" t="inlineStr">
        <is>
          <t>FEC</t>
        </is>
      </c>
      <c r="F265" t="n">
        <v>300</v>
      </c>
      <c r="G265" t="inlineStr">
        <is>
          <t>eggs/g</t>
        </is>
      </c>
      <c r="H265" t="inlineStr">
        <is>
          <t>From Manatee Creek - OAV 2223 (r) (Kelsier).csv</t>
        </is>
      </c>
    </row>
    <row r="266">
      <c r="A266" t="inlineStr">
        <is>
          <t>2023-05-25</t>
        </is>
      </c>
      <c r="C266" t="inlineStr">
        <is>
          <t>OAV_2223_2</t>
        </is>
      </c>
      <c r="E266" t="inlineStr">
        <is>
          <t>FEC</t>
        </is>
      </c>
      <c r="F266" t="n">
        <v>350</v>
      </c>
      <c r="G266" t="inlineStr">
        <is>
          <t>eggs/g</t>
        </is>
      </c>
      <c r="H266" t="inlineStr">
        <is>
          <t>From Manatee Creek - OAV 2223 (r) (Kelsier).csv</t>
        </is>
      </c>
    </row>
    <row r="267">
      <c r="A267" t="inlineStr">
        <is>
          <t>2023-06-15</t>
        </is>
      </c>
      <c r="C267" t="inlineStr">
        <is>
          <t>OAV_2223_2</t>
        </is>
      </c>
      <c r="E267" t="inlineStr">
        <is>
          <t>FEC</t>
        </is>
      </c>
      <c r="F267" t="n">
        <v>0</v>
      </c>
      <c r="G267" t="inlineStr">
        <is>
          <t>eggs/g</t>
        </is>
      </c>
      <c r="H267" t="inlineStr">
        <is>
          <t>From Manatee Creek - OAV 2223 (r) (Kelsier).csv</t>
        </is>
      </c>
    </row>
    <row r="268">
      <c r="A268" t="inlineStr">
        <is>
          <t>2023-06-29</t>
        </is>
      </c>
      <c r="C268" t="inlineStr">
        <is>
          <t>OAV_2223_2</t>
        </is>
      </c>
      <c r="E268" t="inlineStr">
        <is>
          <t>FEC</t>
        </is>
      </c>
      <c r="F268" t="n">
        <v>0</v>
      </c>
      <c r="G268" t="inlineStr">
        <is>
          <t>eggs/g</t>
        </is>
      </c>
      <c r="H268" t="inlineStr">
        <is>
          <t>From Manatee Creek - OAV 2223 (r) (Kelsier).csv</t>
        </is>
      </c>
    </row>
    <row r="269">
      <c r="A269" t="inlineStr">
        <is>
          <t>2023-07-13</t>
        </is>
      </c>
      <c r="C269" t="inlineStr">
        <is>
          <t>OAV_2223_2</t>
        </is>
      </c>
      <c r="E269" t="inlineStr">
        <is>
          <t>FEC</t>
        </is>
      </c>
      <c r="F269" t="n">
        <v>50</v>
      </c>
      <c r="G269" t="inlineStr">
        <is>
          <t>eggs/g</t>
        </is>
      </c>
      <c r="H269" t="inlineStr">
        <is>
          <t>From Manatee Creek - OAV 2223 (r) (Kelsier).csv</t>
        </is>
      </c>
    </row>
    <row r="270">
      <c r="A270" t="inlineStr">
        <is>
          <t>2023-07-27</t>
        </is>
      </c>
      <c r="C270" t="inlineStr">
        <is>
          <t>OAV_2223_2</t>
        </is>
      </c>
      <c r="E270" t="inlineStr">
        <is>
          <t>FEC</t>
        </is>
      </c>
      <c r="F270" t="n">
        <v>200</v>
      </c>
      <c r="G270" t="inlineStr">
        <is>
          <t>eggs/g</t>
        </is>
      </c>
      <c r="H270" t="inlineStr">
        <is>
          <t>From Manatee Creek - OAV 2223 (r) (Kelsier).csv</t>
        </is>
      </c>
    </row>
    <row r="271">
      <c r="A271" t="inlineStr">
        <is>
          <t>2023-08-10</t>
        </is>
      </c>
      <c r="C271" t="inlineStr">
        <is>
          <t>OAV_2223_2</t>
        </is>
      </c>
      <c r="E271" t="inlineStr">
        <is>
          <t>FEC</t>
        </is>
      </c>
      <c r="F271" t="n">
        <v>50</v>
      </c>
      <c r="G271" t="inlineStr">
        <is>
          <t>eggs/g</t>
        </is>
      </c>
      <c r="H271" t="inlineStr">
        <is>
          <t>From Manatee Creek - OAV 2223 (r) (Kelsier).csv</t>
        </is>
      </c>
    </row>
    <row r="272">
      <c r="A272" t="inlineStr">
        <is>
          <t>2023-08-24</t>
        </is>
      </c>
      <c r="C272" t="inlineStr">
        <is>
          <t>OAV_2223_2</t>
        </is>
      </c>
      <c r="E272" t="inlineStr">
        <is>
          <t>FEC</t>
        </is>
      </c>
      <c r="F272" t="n">
        <v>200</v>
      </c>
      <c r="G272" t="inlineStr">
        <is>
          <t>eggs/g</t>
        </is>
      </c>
      <c r="H272" t="inlineStr">
        <is>
          <t>From Manatee Creek - OAV 2223 (r) (Kelsier).csv</t>
        </is>
      </c>
    </row>
    <row r="273">
      <c r="A273" t="inlineStr">
        <is>
          <t>2026-01-07</t>
        </is>
      </c>
      <c r="C273" t="inlineStr">
        <is>
          <t>FL51870_0502_PEN_1_2</t>
        </is>
      </c>
      <c r="E273" t="inlineStr">
        <is>
          <t>Weight</t>
        </is>
      </c>
      <c r="F273" t="n">
        <v>285.61</v>
      </c>
      <c r="G273" t="inlineStr">
        <is>
          <t>lb</t>
        </is>
      </c>
      <c r="H273" t="inlineStr">
        <is>
          <t>From Manatee Creek - GG (Gentle Giant).csv (date unknown)</t>
        </is>
      </c>
    </row>
    <row r="274">
      <c r="A274" t="inlineStr">
        <is>
          <t>2026-01-07</t>
        </is>
      </c>
      <c r="C274" t="inlineStr">
        <is>
          <t>FL51870_0502_PEN_1_2</t>
        </is>
      </c>
      <c r="E274" t="inlineStr">
        <is>
          <t>Expected wt (EWE)</t>
        </is>
      </c>
      <c r="F274" t="n">
        <v>285.61</v>
      </c>
      <c r="G274" t="inlineStr">
        <is>
          <t>lb</t>
        </is>
      </c>
      <c r="H274" t="inlineStr">
        <is>
          <t>From Manatee Creek - GG (Gentle Giant).csv</t>
        </is>
      </c>
    </row>
    <row r="275">
      <c r="A275" t="inlineStr">
        <is>
          <t>2026-01-07</t>
        </is>
      </c>
      <c r="C275" t="inlineStr">
        <is>
          <t>FL51870_0502_PEN_1_2</t>
        </is>
      </c>
      <c r="E275" t="inlineStr">
        <is>
          <t>Expected wt (RAM)</t>
        </is>
      </c>
      <c r="F275" t="n">
        <v>385</v>
      </c>
      <c r="G275" t="inlineStr">
        <is>
          <t>lb</t>
        </is>
      </c>
      <c r="H275" t="inlineStr">
        <is>
          <t>From Manatee Creek - GG (Gentle Giant).csv</t>
        </is>
      </c>
    </row>
    <row r="276">
      <c r="A276" t="inlineStr">
        <is>
          <t>2026-01-07</t>
        </is>
      </c>
      <c r="C276" t="inlineStr">
        <is>
          <t>ELSIE</t>
        </is>
      </c>
      <c r="E276" t="inlineStr">
        <is>
          <t>Expected wt (EWE)</t>
        </is>
      </c>
      <c r="F276" t="n">
        <v>140</v>
      </c>
      <c r="G276" t="inlineStr">
        <is>
          <t>lb</t>
        </is>
      </c>
      <c r="H276" t="inlineStr">
        <is>
          <t>From Manatee Creek - Elsie (E).csv</t>
        </is>
      </c>
    </row>
    <row r="277">
      <c r="A277" t="inlineStr">
        <is>
          <t>2026-01-07</t>
        </is>
      </c>
      <c r="C277" t="inlineStr">
        <is>
          <t>ELSIE</t>
        </is>
      </c>
      <c r="E277" t="inlineStr">
        <is>
          <t>Expected wt (RAM)</t>
        </is>
      </c>
      <c r="F277" t="n">
        <v>232.34375</v>
      </c>
      <c r="G277" t="inlineStr">
        <is>
          <t>lb</t>
        </is>
      </c>
      <c r="H277" t="inlineStr">
        <is>
          <t>From Manatee Creek - Elsie (E).csv</t>
        </is>
      </c>
    </row>
    <row r="278">
      <c r="A278" t="inlineStr">
        <is>
          <t>2026-01-07</t>
        </is>
      </c>
      <c r="C278" t="inlineStr">
        <is>
          <t>KAT_X_AWASSI</t>
        </is>
      </c>
      <c r="E278" t="inlineStr">
        <is>
          <t>Expected wt (EWE)</t>
        </is>
      </c>
      <c r="F278" t="n">
        <v>155.2</v>
      </c>
      <c r="G278" t="inlineStr">
        <is>
          <t>lb</t>
        </is>
      </c>
      <c r="H278" t="inlineStr">
        <is>
          <t>From Manatee Creek - Buck (Kat x Awassi).csv</t>
        </is>
      </c>
    </row>
    <row r="279">
      <c r="A279" t="inlineStr">
        <is>
          <t>2026-01-07</t>
        </is>
      </c>
      <c r="C279" t="inlineStr">
        <is>
          <t>KAT_X_AWASSI</t>
        </is>
      </c>
      <c r="E279" t="inlineStr">
        <is>
          <t>Expected wt (RAM)</t>
        </is>
      </c>
      <c r="F279" t="n">
        <v>212</v>
      </c>
      <c r="G279" t="inlineStr">
        <is>
          <t>lb</t>
        </is>
      </c>
      <c r="H279" t="inlineStr">
        <is>
          <t>From Manatee Creek - Buck (Kat x Awassi).csv</t>
        </is>
      </c>
    </row>
    <row r="280">
      <c r="A280" t="inlineStr">
        <is>
          <t>2026-01-07</t>
        </is>
      </c>
      <c r="C280" t="inlineStr">
        <is>
          <t>SERENDIPITY</t>
        </is>
      </c>
      <c r="E280" t="inlineStr">
        <is>
          <t>Expected wt (EWE)</t>
        </is>
      </c>
      <c r="F280" t="n">
        <v>137.5</v>
      </c>
      <c r="G280" t="inlineStr">
        <is>
          <t>lb</t>
        </is>
      </c>
      <c r="H280" t="inlineStr">
        <is>
          <t>From Manatee Creek - Serendipity.csv</t>
        </is>
      </c>
    </row>
    <row r="281">
      <c r="A281" t="inlineStr">
        <is>
          <t>2026-01-07</t>
        </is>
      </c>
      <c r="C281" t="inlineStr">
        <is>
          <t>SERENDIPITY</t>
        </is>
      </c>
      <c r="E281" t="inlineStr">
        <is>
          <t>Expected wt (RAM)</t>
        </is>
      </c>
      <c r="F281" t="n">
        <v>222.75</v>
      </c>
      <c r="G281" t="inlineStr">
        <is>
          <t>lb</t>
        </is>
      </c>
      <c r="H281" t="inlineStr">
        <is>
          <t>From Manatee Creek - Serendipity.csv</t>
        </is>
      </c>
    </row>
    <row r="282">
      <c r="A282" t="inlineStr">
        <is>
          <t>2026-01-07</t>
        </is>
      </c>
      <c r="C282" t="inlineStr">
        <is>
          <t>NORI_0029</t>
        </is>
      </c>
      <c r="E282" t="inlineStr">
        <is>
          <t>Weight</t>
        </is>
      </c>
      <c r="F282" t="n">
        <v>138.83</v>
      </c>
      <c r="G282" t="inlineStr">
        <is>
          <t>lb</t>
        </is>
      </c>
      <c r="H282" t="inlineStr">
        <is>
          <t>From Manatee Creek - Nori.csv (date unknown)</t>
        </is>
      </c>
    </row>
    <row r="283">
      <c r="A283" t="inlineStr">
        <is>
          <t>2026-01-07</t>
        </is>
      </c>
      <c r="C283" t="inlineStr">
        <is>
          <t>NORI_0029</t>
        </is>
      </c>
      <c r="E283" t="inlineStr">
        <is>
          <t>Expected wt (EWE)</t>
        </is>
      </c>
      <c r="F283" t="n">
        <v>138.83</v>
      </c>
      <c r="G283" t="inlineStr">
        <is>
          <t>lb</t>
        </is>
      </c>
      <c r="H283" t="inlineStr">
        <is>
          <t>From Manatee Creek - Nori.csv</t>
        </is>
      </c>
    </row>
    <row r="284">
      <c r="A284" t="inlineStr">
        <is>
          <t>2026-01-07</t>
        </is>
      </c>
      <c r="C284" t="inlineStr">
        <is>
          <t>NORI_0029</t>
        </is>
      </c>
      <c r="E284" t="inlineStr">
        <is>
          <t>Expected wt (RAM)</t>
        </is>
      </c>
      <c r="F284" t="n">
        <v>217.5</v>
      </c>
      <c r="G284" t="inlineStr">
        <is>
          <t>lb</t>
        </is>
      </c>
      <c r="H284" t="inlineStr">
        <is>
          <t>From Manatee Creek - Nori.csv</t>
        </is>
      </c>
    </row>
    <row r="285">
      <c r="A285" t="inlineStr">
        <is>
          <t>2026-01-07</t>
        </is>
      </c>
      <c r="C285" t="inlineStr">
        <is>
          <t>OAV_2222_2</t>
        </is>
      </c>
      <c r="E285" t="inlineStr">
        <is>
          <t>Weight</t>
        </is>
      </c>
      <c r="F285" t="n">
        <v>285.61</v>
      </c>
      <c r="G285" t="inlineStr">
        <is>
          <t>lb</t>
        </is>
      </c>
      <c r="H285" t="inlineStr">
        <is>
          <t>From Manatee Creek - OAV 2222(e).csv (date unknown)</t>
        </is>
      </c>
    </row>
    <row r="286">
      <c r="A286" t="inlineStr">
        <is>
          <t>2026-01-07</t>
        </is>
      </c>
      <c r="C286" t="inlineStr">
        <is>
          <t>OAV_2222_2</t>
        </is>
      </c>
      <c r="E286" t="inlineStr">
        <is>
          <t>Expected wt (EWE)</t>
        </is>
      </c>
      <c r="F286" t="n">
        <v>140</v>
      </c>
      <c r="G286" t="inlineStr">
        <is>
          <t>lb</t>
        </is>
      </c>
      <c r="H286" t="inlineStr">
        <is>
          <t>From Manatee Creek - OAV 2222(e).csv</t>
        </is>
      </c>
    </row>
    <row r="287">
      <c r="A287" t="inlineStr">
        <is>
          <t>2026-01-07</t>
        </is>
      </c>
      <c r="C287" t="inlineStr">
        <is>
          <t>OAV_2222_2</t>
        </is>
      </c>
      <c r="E287" t="inlineStr">
        <is>
          <t>Expected wt (RAM)</t>
        </is>
      </c>
      <c r="F287" t="n">
        <v>250</v>
      </c>
      <c r="G287" t="inlineStr">
        <is>
          <t>lb</t>
        </is>
      </c>
      <c r="H287" t="inlineStr">
        <is>
          <t>From Manatee Creek - OAV 2222(e).csv</t>
        </is>
      </c>
    </row>
    <row r="288">
      <c r="A288" t="inlineStr">
        <is>
          <t>2026-01-07</t>
        </is>
      </c>
      <c r="C288" t="inlineStr">
        <is>
          <t>ANIMAL_2</t>
        </is>
      </c>
      <c r="E288" t="inlineStr">
        <is>
          <t>Expected wt (EWE)</t>
        </is>
      </c>
      <c r="F288" t="n">
        <v>144.6875</v>
      </c>
      <c r="G288" t="inlineStr">
        <is>
          <t>lb</t>
        </is>
      </c>
      <c r="H288" t="inlineStr">
        <is>
          <t>From Manatee Creek - Little Daisy(e).csv</t>
        </is>
      </c>
    </row>
    <row r="289">
      <c r="A289" t="inlineStr">
        <is>
          <t>2026-01-07</t>
        </is>
      </c>
      <c r="C289" t="inlineStr">
        <is>
          <t>ANIMAL_2</t>
        </is>
      </c>
      <c r="E289" t="inlineStr">
        <is>
          <t>Expected wt (RAM)</t>
        </is>
      </c>
      <c r="F289" t="n">
        <v>270.9140625</v>
      </c>
      <c r="G289" t="inlineStr">
        <is>
          <t>lb</t>
        </is>
      </c>
      <c r="H289" t="inlineStr">
        <is>
          <t>From Manatee Creek - Little Daisy(e).csv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8" customWidth="1" min="5" max="5"/>
    <col width="14" customWidth="1" min="6" max="6"/>
    <col width="52" customWidth="1" min="7" max="7"/>
  </cols>
  <sheetData>
    <row r="1" ht="22" customHeight="1">
      <c r="A1" s="4" t="inlineStr">
        <is>
          <t>Date*</t>
        </is>
      </c>
      <c r="B1" s="4" t="inlineStr">
        <is>
          <t>Year (calc)</t>
        </is>
      </c>
      <c r="C1" s="4" t="inlineStr">
        <is>
          <t>AnimalID*</t>
        </is>
      </c>
      <c r="D1" s="4" t="inlineStr">
        <is>
          <t>Pen (calc)</t>
        </is>
      </c>
      <c r="E1" s="4" t="inlineStr">
        <is>
          <t>Event Type*</t>
        </is>
      </c>
      <c r="F1" s="4" t="inlineStr">
        <is>
          <t>Severity (1-5)</t>
        </is>
      </c>
      <c r="G1" s="4" t="inlineStr">
        <is>
          <t>Description</t>
        </is>
      </c>
    </row>
    <row r="2">
      <c r="A2" s="6" t="inlineStr">
        <is>
          <t>2023-12-04</t>
        </is>
      </c>
      <c r="B2" s="9">
        <f>IF($A2="","",YEAR($A2))</f>
        <v/>
      </c>
      <c r="C2" s="5" t="inlineStr">
        <is>
          <t>BROKEN_TAIL_EWE</t>
        </is>
      </c>
      <c r="D2" s="9">
        <f>IFERROR(VLOOKUP($C2,ANIMALS!$A$2:$T$61,8,FALSE),"")</f>
        <v/>
      </c>
      <c r="E2" s="5" t="inlineStr">
        <is>
          <t>Wound care</t>
        </is>
      </c>
      <c r="F2" s="5" t="n">
        <v>3</v>
      </c>
      <c r="G2" s="5" t="inlineStr">
        <is>
          <t>Coyote attack, wound care (from paste)</t>
        </is>
      </c>
    </row>
    <row r="3">
      <c r="A3" s="6" t="inlineStr"/>
      <c r="B3" s="9">
        <f>IF($A3="","",YEAR($A3))</f>
        <v/>
      </c>
      <c r="C3" s="5" t="inlineStr"/>
      <c r="D3" s="9">
        <f>IFERROR(VLOOKUP($C3,ANIMALS!$A$2:$T$61,8,FALSE),"")</f>
        <v/>
      </c>
      <c r="E3" s="5" t="inlineStr"/>
      <c r="F3" s="5" t="inlineStr"/>
      <c r="G3" s="5" t="inlineStr"/>
    </row>
    <row r="4">
      <c r="A4" s="6" t="inlineStr"/>
      <c r="B4" s="9">
        <f>IF($A4="","",YEAR($A4))</f>
        <v/>
      </c>
      <c r="C4" s="5" t="inlineStr"/>
      <c r="D4" s="9">
        <f>IFERROR(VLOOKUP($C4,ANIMALS!$A$2:$T$61,8,FALSE),"")</f>
        <v/>
      </c>
      <c r="E4" s="5" t="inlineStr"/>
      <c r="F4" s="5" t="inlineStr"/>
      <c r="G4" s="5" t="inlineStr"/>
    </row>
    <row r="5">
      <c r="A5" s="6" t="inlineStr"/>
      <c r="B5" s="9">
        <f>IF($A5="","",YEAR($A5))</f>
        <v/>
      </c>
      <c r="C5" s="5" t="inlineStr"/>
      <c r="D5" s="9">
        <f>IFERROR(VLOOKUP($C5,ANIMALS!$A$2:$T$61,8,FALSE),"")</f>
        <v/>
      </c>
      <c r="E5" s="5" t="inlineStr"/>
      <c r="F5" s="5" t="inlineStr"/>
      <c r="G5" s="5" t="inlineStr"/>
    </row>
    <row r="6">
      <c r="A6" s="6" t="inlineStr"/>
      <c r="B6" s="9">
        <f>IF($A6="","",YEAR($A6))</f>
        <v/>
      </c>
      <c r="C6" s="5" t="inlineStr"/>
      <c r="D6" s="9">
        <f>IFERROR(VLOOKUP($C6,ANIMALS!$A$2:$T$61,8,FALSE),"")</f>
        <v/>
      </c>
      <c r="E6" s="5" t="inlineStr"/>
      <c r="F6" s="5" t="inlineStr"/>
      <c r="G6" s="5" t="inlineStr"/>
    </row>
    <row r="7">
      <c r="A7" s="6" t="inlineStr"/>
      <c r="B7" s="9">
        <f>IF($A7="","",YEAR($A7))</f>
        <v/>
      </c>
      <c r="C7" s="5" t="inlineStr"/>
      <c r="D7" s="9">
        <f>IFERROR(VLOOKUP($C7,ANIMALS!$A$2:$T$61,8,FALSE),"")</f>
        <v/>
      </c>
      <c r="E7" s="5" t="inlineStr"/>
      <c r="F7" s="5" t="inlineStr"/>
      <c r="G7" s="5" t="inlineStr"/>
    </row>
    <row r="8">
      <c r="A8" s="6" t="inlineStr"/>
      <c r="B8" s="9">
        <f>IF($A8="","",YEAR($A8))</f>
        <v/>
      </c>
      <c r="C8" s="5" t="inlineStr"/>
      <c r="D8" s="9">
        <f>IFERROR(VLOOKUP($C8,ANIMALS!$A$2:$T$61,8,FALSE),"")</f>
        <v/>
      </c>
      <c r="E8" s="5" t="inlineStr"/>
      <c r="F8" s="5" t="inlineStr"/>
      <c r="G8" s="5" t="inlineStr"/>
    </row>
    <row r="9">
      <c r="A9" s="6" t="inlineStr"/>
      <c r="B9" s="9">
        <f>IF($A9="","",YEAR($A9))</f>
        <v/>
      </c>
      <c r="C9" s="5" t="inlineStr"/>
      <c r="D9" s="9">
        <f>IFERROR(VLOOKUP($C9,ANIMALS!$A$2:$T$61,8,FALSE),"")</f>
        <v/>
      </c>
      <c r="E9" s="5" t="inlineStr"/>
      <c r="F9" s="5" t="inlineStr"/>
      <c r="G9" s="5" t="inlineStr"/>
    </row>
    <row r="10">
      <c r="A10" s="6" t="inlineStr"/>
      <c r="B10" s="9">
        <f>IF($A10="","",YEAR($A10))</f>
        <v/>
      </c>
      <c r="C10" s="5" t="inlineStr"/>
      <c r="D10" s="9">
        <f>IFERROR(VLOOKUP($C10,ANIMALS!$A$2:$T$61,8,FALSE),"")</f>
        <v/>
      </c>
      <c r="E10" s="5" t="inlineStr"/>
      <c r="F10" s="5" t="inlineStr"/>
      <c r="G10" s="5" t="inlineStr"/>
    </row>
    <row r="11">
      <c r="A11" s="6" t="inlineStr"/>
      <c r="B11" s="9">
        <f>IF($A11="","",YEAR($A11))</f>
        <v/>
      </c>
      <c r="C11" s="5" t="inlineStr"/>
      <c r="D11" s="9">
        <f>IFERROR(VLOOKUP($C11,ANIMALS!$A$2:$T$61,8,FALSE),"")</f>
        <v/>
      </c>
      <c r="E11" s="5" t="inlineStr"/>
      <c r="F11" s="5" t="inlineStr"/>
      <c r="G11" s="5" t="inlineStr"/>
    </row>
    <row r="12">
      <c r="A12" s="6" t="inlineStr"/>
      <c r="B12" s="9">
        <f>IF($A12="","",YEAR($A12))</f>
        <v/>
      </c>
      <c r="C12" s="5" t="inlineStr"/>
      <c r="D12" s="9">
        <f>IFERROR(VLOOKUP($C12,ANIMALS!$A$2:$T$61,8,FALSE),"")</f>
        <v/>
      </c>
      <c r="E12" s="5" t="inlineStr"/>
      <c r="F12" s="5" t="inlineStr"/>
      <c r="G12" s="5" t="inlineStr"/>
    </row>
    <row r="13">
      <c r="A13" s="6" t="inlineStr"/>
      <c r="B13" s="9">
        <f>IF($A13="","",YEAR($A13))</f>
        <v/>
      </c>
      <c r="C13" s="5" t="inlineStr"/>
      <c r="D13" s="9">
        <f>IFERROR(VLOOKUP($C13,ANIMALS!$A$2:$T$61,8,FALSE),"")</f>
        <v/>
      </c>
      <c r="E13" s="5" t="inlineStr"/>
      <c r="F13" s="5" t="inlineStr"/>
      <c r="G13" s="5" t="inlineStr"/>
    </row>
    <row r="14">
      <c r="A14" s="6" t="inlineStr"/>
      <c r="B14" s="9">
        <f>IF($A14="","",YEAR($A14))</f>
        <v/>
      </c>
      <c r="C14" s="5" t="inlineStr"/>
      <c r="D14" s="9">
        <f>IFERROR(VLOOKUP($C14,ANIMALS!$A$2:$T$61,8,FALSE),"")</f>
        <v/>
      </c>
      <c r="E14" s="5" t="inlineStr"/>
      <c r="F14" s="5" t="inlineStr"/>
      <c r="G14" s="5" t="inlineStr"/>
    </row>
    <row r="15">
      <c r="A15" s="6" t="inlineStr"/>
      <c r="B15" s="9">
        <f>IF($A15="","",YEAR($A15))</f>
        <v/>
      </c>
      <c r="C15" s="5" t="inlineStr"/>
      <c r="D15" s="9">
        <f>IFERROR(VLOOKUP($C15,ANIMALS!$A$2:$T$61,8,FALSE),"")</f>
        <v/>
      </c>
      <c r="E15" s="5" t="inlineStr"/>
      <c r="F15" s="5" t="inlineStr"/>
      <c r="G15" s="5" t="inlineStr"/>
    </row>
    <row r="16">
      <c r="A16" s="6" t="inlineStr"/>
      <c r="B16" s="9">
        <f>IF($A16="","",YEAR($A16))</f>
        <v/>
      </c>
      <c r="C16" s="5" t="inlineStr"/>
      <c r="D16" s="9">
        <f>IFERROR(VLOOKUP($C16,ANIMALS!$A$2:$T$61,8,FALSE),"")</f>
        <v/>
      </c>
      <c r="E16" s="5" t="inlineStr"/>
      <c r="F16" s="5" t="inlineStr"/>
      <c r="G16" s="5" t="inlineStr"/>
    </row>
    <row r="17">
      <c r="A17" s="6" t="inlineStr"/>
      <c r="B17" s="9">
        <f>IF($A17="","",YEAR($A17))</f>
        <v/>
      </c>
      <c r="C17" s="5" t="inlineStr"/>
      <c r="D17" s="9">
        <f>IFERROR(VLOOKUP($C17,ANIMALS!$A$2:$T$61,8,FALSE),"")</f>
        <v/>
      </c>
      <c r="E17" s="5" t="inlineStr"/>
      <c r="F17" s="5" t="inlineStr"/>
      <c r="G17" s="5" t="inlineStr"/>
    </row>
    <row r="18">
      <c r="A18" s="6" t="inlineStr"/>
      <c r="B18" s="9">
        <f>IF($A18="","",YEAR($A18))</f>
        <v/>
      </c>
      <c r="C18" s="5" t="inlineStr"/>
      <c r="D18" s="9">
        <f>IFERROR(VLOOKUP($C18,ANIMALS!$A$2:$T$61,8,FALSE),"")</f>
        <v/>
      </c>
      <c r="E18" s="5" t="inlineStr"/>
      <c r="F18" s="5" t="inlineStr"/>
      <c r="G18" s="5" t="inlineStr"/>
    </row>
    <row r="19">
      <c r="A19" s="6" t="inlineStr"/>
      <c r="B19" s="9">
        <f>IF($A19="","",YEAR($A19))</f>
        <v/>
      </c>
      <c r="C19" s="5" t="inlineStr"/>
      <c r="D19" s="9">
        <f>IFERROR(VLOOKUP($C19,ANIMALS!$A$2:$T$61,8,FALSE),"")</f>
        <v/>
      </c>
      <c r="E19" s="5" t="inlineStr"/>
      <c r="F19" s="5" t="inlineStr"/>
      <c r="G19" s="5" t="inlineStr"/>
    </row>
    <row r="20">
      <c r="A20" s="6" t="inlineStr"/>
      <c r="B20" s="9">
        <f>IF($A20="","",YEAR($A20))</f>
        <v/>
      </c>
      <c r="C20" s="5" t="inlineStr"/>
      <c r="D20" s="9">
        <f>IFERROR(VLOOKUP($C20,ANIMALS!$A$2:$T$61,8,FALSE),"")</f>
        <v/>
      </c>
      <c r="E20" s="5" t="inlineStr"/>
      <c r="F20" s="5" t="inlineStr"/>
      <c r="G20" s="5" t="inlineStr"/>
    </row>
    <row r="21">
      <c r="A21" s="6" t="inlineStr"/>
      <c r="B21" s="9">
        <f>IF($A21="","",YEAR($A21))</f>
        <v/>
      </c>
      <c r="C21" s="5" t="inlineStr"/>
      <c r="D21" s="9">
        <f>IFERROR(VLOOKUP($C21,ANIMALS!$A$2:$T$61,8,FALSE),"")</f>
        <v/>
      </c>
      <c r="E21" s="5" t="inlineStr"/>
      <c r="F21" s="5" t="inlineStr"/>
      <c r="G21" s="5" t="inlineStr"/>
    </row>
    <row r="22">
      <c r="A22" s="6" t="inlineStr"/>
      <c r="B22" s="9">
        <f>IF($A22="","",YEAR($A22))</f>
        <v/>
      </c>
      <c r="C22" s="5" t="inlineStr"/>
      <c r="D22" s="9">
        <f>IFERROR(VLOOKUP($C22,ANIMALS!$A$2:$T$61,8,FALSE),"")</f>
        <v/>
      </c>
      <c r="E22" s="5" t="inlineStr"/>
      <c r="F22" s="5" t="inlineStr"/>
      <c r="G22" s="5" t="inlineStr"/>
    </row>
    <row r="23">
      <c r="A23" s="6" t="inlineStr"/>
      <c r="B23" s="9">
        <f>IF($A23="","",YEAR($A23))</f>
        <v/>
      </c>
      <c r="C23" s="5" t="inlineStr"/>
      <c r="D23" s="9">
        <f>IFERROR(VLOOKUP($C23,ANIMALS!$A$2:$T$61,8,FALSE),"")</f>
        <v/>
      </c>
      <c r="E23" s="5" t="inlineStr"/>
      <c r="F23" s="5" t="inlineStr"/>
      <c r="G23" s="5" t="inlineStr"/>
    </row>
    <row r="24">
      <c r="A24" s="6" t="inlineStr"/>
      <c r="B24" s="9">
        <f>IF($A24="","",YEAR($A24))</f>
        <v/>
      </c>
      <c r="C24" s="5" t="inlineStr"/>
      <c r="D24" s="9">
        <f>IFERROR(VLOOKUP($C24,ANIMALS!$A$2:$T$61,8,FALSE),"")</f>
        <v/>
      </c>
      <c r="E24" s="5" t="inlineStr"/>
      <c r="F24" s="5" t="inlineStr"/>
      <c r="G24" s="5" t="inlineStr"/>
    </row>
    <row r="25">
      <c r="A25" s="6" t="inlineStr"/>
      <c r="B25" s="9">
        <f>IF($A25="","",YEAR($A25))</f>
        <v/>
      </c>
      <c r="C25" s="5" t="inlineStr"/>
      <c r="D25" s="9">
        <f>IFERROR(VLOOKUP($C25,ANIMALS!$A$2:$T$61,8,FALSE),"")</f>
        <v/>
      </c>
      <c r="E25" s="5" t="inlineStr"/>
      <c r="F25" s="5" t="inlineStr"/>
      <c r="G25" s="5" t="inlineStr"/>
    </row>
    <row r="26">
      <c r="A26" s="6" t="inlineStr"/>
      <c r="B26" s="9">
        <f>IF($A26="","",YEAR($A26))</f>
        <v/>
      </c>
      <c r="C26" s="5" t="inlineStr"/>
      <c r="D26" s="9">
        <f>IFERROR(VLOOKUP($C26,ANIMALS!$A$2:$T$61,8,FALSE),"")</f>
        <v/>
      </c>
      <c r="E26" s="5" t="inlineStr"/>
      <c r="F26" s="5" t="inlineStr"/>
      <c r="G26" s="5" t="inlineStr"/>
    </row>
    <row r="27">
      <c r="A27" s="6" t="inlineStr"/>
      <c r="B27" s="9">
        <f>IF($A27="","",YEAR($A27))</f>
        <v/>
      </c>
      <c r="C27" s="5" t="inlineStr"/>
      <c r="D27" s="9">
        <f>IFERROR(VLOOKUP($C27,ANIMALS!$A$2:$T$61,8,FALSE),"")</f>
        <v/>
      </c>
      <c r="E27" s="5" t="inlineStr"/>
      <c r="F27" s="5" t="inlineStr"/>
      <c r="G27" s="5" t="inlineStr"/>
    </row>
    <row r="28">
      <c r="A28" s="6" t="inlineStr"/>
      <c r="B28" s="9">
        <f>IF($A28="","",YEAR($A28))</f>
        <v/>
      </c>
      <c r="C28" s="5" t="inlineStr"/>
      <c r="D28" s="9">
        <f>IFERROR(VLOOKUP($C28,ANIMALS!$A$2:$T$61,8,FALSE),"")</f>
        <v/>
      </c>
      <c r="E28" s="5" t="inlineStr"/>
      <c r="F28" s="5" t="inlineStr"/>
      <c r="G28" s="5" t="inlineStr"/>
    </row>
    <row r="29">
      <c r="A29" s="6" t="inlineStr"/>
      <c r="B29" s="9">
        <f>IF($A29="","",YEAR($A29))</f>
        <v/>
      </c>
      <c r="C29" s="5" t="inlineStr"/>
      <c r="D29" s="9">
        <f>IFERROR(VLOOKUP($C29,ANIMALS!$A$2:$T$61,8,FALSE),"")</f>
        <v/>
      </c>
      <c r="E29" s="5" t="inlineStr"/>
      <c r="F29" s="5" t="inlineStr"/>
      <c r="G29" s="5" t="inlineStr"/>
    </row>
    <row r="30">
      <c r="A30" s="6" t="inlineStr"/>
      <c r="B30" s="9">
        <f>IF($A30="","",YEAR($A30))</f>
        <v/>
      </c>
      <c r="C30" s="5" t="inlineStr"/>
      <c r="D30" s="9">
        <f>IFERROR(VLOOKUP($C30,ANIMALS!$A$2:$T$61,8,FALSE),"")</f>
        <v/>
      </c>
      <c r="E30" s="5" t="inlineStr"/>
      <c r="F30" s="5" t="inlineStr"/>
      <c r="G30" s="5" t="inlineStr"/>
    </row>
    <row r="31">
      <c r="A31" s="6" t="inlineStr"/>
      <c r="B31" s="9">
        <f>IF($A31="","",YEAR($A31))</f>
        <v/>
      </c>
      <c r="C31" s="5" t="inlineStr"/>
      <c r="D31" s="9">
        <f>IFERROR(VLOOKUP($C31,ANIMALS!$A$2:$T$61,8,FALSE),"")</f>
        <v/>
      </c>
      <c r="E31" s="5" t="inlineStr"/>
      <c r="F31" s="5" t="inlineStr"/>
      <c r="G31" s="5" t="inlineStr"/>
    </row>
    <row r="32">
      <c r="A32" s="6" t="inlineStr"/>
      <c r="B32" s="9">
        <f>IF($A32="","",YEAR($A32))</f>
        <v/>
      </c>
      <c r="C32" s="5" t="inlineStr"/>
      <c r="D32" s="9">
        <f>IFERROR(VLOOKUP($C32,ANIMALS!$A$2:$T$61,8,FALSE),"")</f>
        <v/>
      </c>
      <c r="E32" s="5" t="inlineStr"/>
      <c r="F32" s="5" t="inlineStr"/>
      <c r="G32" s="5" t="inlineStr"/>
    </row>
    <row r="33">
      <c r="A33" s="6" t="inlineStr"/>
      <c r="B33" s="9">
        <f>IF($A33="","",YEAR($A33))</f>
        <v/>
      </c>
      <c r="C33" s="5" t="inlineStr"/>
      <c r="D33" s="9">
        <f>IFERROR(VLOOKUP($C33,ANIMALS!$A$2:$T$61,8,FALSE),"")</f>
        <v/>
      </c>
      <c r="E33" s="5" t="inlineStr"/>
      <c r="F33" s="5" t="inlineStr"/>
      <c r="G33" s="5" t="inlineStr"/>
    </row>
    <row r="34">
      <c r="A34" s="6" t="inlineStr"/>
      <c r="B34" s="9">
        <f>IF($A34="","",YEAR($A34))</f>
        <v/>
      </c>
      <c r="C34" s="5" t="inlineStr"/>
      <c r="D34" s="9">
        <f>IFERROR(VLOOKUP($C34,ANIMALS!$A$2:$T$61,8,FALSE),"")</f>
        <v/>
      </c>
      <c r="E34" s="5" t="inlineStr"/>
      <c r="F34" s="5" t="inlineStr"/>
      <c r="G34" s="5" t="inlineStr"/>
    </row>
    <row r="35">
      <c r="A35" s="6" t="inlineStr"/>
      <c r="B35" s="9">
        <f>IF($A35="","",YEAR($A35))</f>
        <v/>
      </c>
      <c r="C35" s="5" t="inlineStr"/>
      <c r="D35" s="9">
        <f>IFERROR(VLOOKUP($C35,ANIMALS!$A$2:$T$61,8,FALSE),"")</f>
        <v/>
      </c>
      <c r="E35" s="5" t="inlineStr"/>
      <c r="F35" s="5" t="inlineStr"/>
      <c r="G35" s="5" t="inlineStr"/>
    </row>
    <row r="36">
      <c r="A36" s="6" t="inlineStr"/>
      <c r="B36" s="9">
        <f>IF($A36="","",YEAR($A36))</f>
        <v/>
      </c>
      <c r="C36" s="5" t="inlineStr"/>
      <c r="D36" s="9">
        <f>IFERROR(VLOOKUP($C36,ANIMALS!$A$2:$T$61,8,FALSE),"")</f>
        <v/>
      </c>
      <c r="E36" s="5" t="inlineStr"/>
      <c r="F36" s="5" t="inlineStr"/>
      <c r="G36" s="5" t="inlineStr"/>
    </row>
    <row r="37">
      <c r="A37" s="6" t="inlineStr"/>
      <c r="B37" s="9">
        <f>IF($A37="","",YEAR($A37))</f>
        <v/>
      </c>
      <c r="C37" s="5" t="inlineStr"/>
      <c r="D37" s="9">
        <f>IFERROR(VLOOKUP($C37,ANIMALS!$A$2:$T$61,8,FALSE),"")</f>
        <v/>
      </c>
      <c r="E37" s="5" t="inlineStr"/>
      <c r="F37" s="5" t="inlineStr"/>
      <c r="G37" s="5" t="inlineStr"/>
    </row>
    <row r="38">
      <c r="A38" s="6" t="inlineStr"/>
      <c r="B38" s="9">
        <f>IF($A38="","",YEAR($A38))</f>
        <v/>
      </c>
      <c r="C38" s="5" t="inlineStr"/>
      <c r="D38" s="9">
        <f>IFERROR(VLOOKUP($C38,ANIMALS!$A$2:$T$61,8,FALSE),"")</f>
        <v/>
      </c>
      <c r="E38" s="5" t="inlineStr"/>
      <c r="F38" s="5" t="inlineStr"/>
      <c r="G38" s="5" t="inlineStr"/>
    </row>
    <row r="39">
      <c r="A39" s="6" t="inlineStr"/>
      <c r="B39" s="9">
        <f>IF($A39="","",YEAR($A39))</f>
        <v/>
      </c>
      <c r="C39" s="5" t="inlineStr"/>
      <c r="D39" s="9">
        <f>IFERROR(VLOOKUP($C39,ANIMALS!$A$2:$T$61,8,FALSE),"")</f>
        <v/>
      </c>
      <c r="E39" s="5" t="inlineStr"/>
      <c r="F39" s="5" t="inlineStr"/>
      <c r="G39" s="5" t="inlineStr"/>
    </row>
    <row r="40">
      <c r="A40" s="6" t="inlineStr"/>
      <c r="B40" s="9">
        <f>IF($A40="","",YEAR($A40))</f>
        <v/>
      </c>
      <c r="C40" s="5" t="inlineStr"/>
      <c r="D40" s="9">
        <f>IFERROR(VLOOKUP($C40,ANIMALS!$A$2:$T$61,8,FALSE),"")</f>
        <v/>
      </c>
      <c r="E40" s="5" t="inlineStr"/>
      <c r="F40" s="5" t="inlineStr"/>
      <c r="G40" s="5" t="inlineStr"/>
    </row>
    <row r="41">
      <c r="A41" s="6" t="inlineStr"/>
      <c r="B41" s="9">
        <f>IF($A41="","",YEAR($A41))</f>
        <v/>
      </c>
      <c r="C41" s="5" t="inlineStr"/>
      <c r="D41" s="9">
        <f>IFERROR(VLOOKUP($C41,ANIMALS!$A$2:$T$61,8,FALSE),"")</f>
        <v/>
      </c>
      <c r="E41" s="5" t="inlineStr"/>
      <c r="F41" s="5" t="inlineStr"/>
      <c r="G41" s="5" t="inlineStr"/>
    </row>
    <row r="42">
      <c r="A42" s="6" t="inlineStr"/>
      <c r="B42" s="9">
        <f>IF($A42="","",YEAR($A42))</f>
        <v/>
      </c>
      <c r="C42" s="5" t="inlineStr"/>
      <c r="D42" s="9">
        <f>IFERROR(VLOOKUP($C42,ANIMALS!$A$2:$T$61,8,FALSE),"")</f>
        <v/>
      </c>
      <c r="E42" s="5" t="inlineStr"/>
      <c r="F42" s="5" t="inlineStr"/>
      <c r="G42" s="5" t="inlineStr"/>
    </row>
    <row r="43">
      <c r="A43" s="6" t="inlineStr"/>
      <c r="B43" s="9">
        <f>IF($A43="","",YEAR($A43))</f>
        <v/>
      </c>
      <c r="C43" s="5" t="inlineStr"/>
      <c r="D43" s="9">
        <f>IFERROR(VLOOKUP($C43,ANIMALS!$A$2:$T$61,8,FALSE),"")</f>
        <v/>
      </c>
      <c r="E43" s="5" t="inlineStr"/>
      <c r="F43" s="5" t="inlineStr"/>
      <c r="G43" s="5" t="inlineStr"/>
    </row>
    <row r="44">
      <c r="A44" s="6" t="inlineStr"/>
      <c r="B44" s="9">
        <f>IF($A44="","",YEAR($A44))</f>
        <v/>
      </c>
      <c r="C44" s="5" t="inlineStr"/>
      <c r="D44" s="9">
        <f>IFERROR(VLOOKUP($C44,ANIMALS!$A$2:$T$61,8,FALSE),"")</f>
        <v/>
      </c>
      <c r="E44" s="5" t="inlineStr"/>
      <c r="F44" s="5" t="inlineStr"/>
      <c r="G44" s="5" t="inlineStr"/>
    </row>
    <row r="45">
      <c r="A45" s="6" t="inlineStr"/>
      <c r="B45" s="9">
        <f>IF($A45="","",YEAR($A45))</f>
        <v/>
      </c>
      <c r="C45" s="5" t="inlineStr"/>
      <c r="D45" s="9">
        <f>IFERROR(VLOOKUP($C45,ANIMALS!$A$2:$T$61,8,FALSE),"")</f>
        <v/>
      </c>
      <c r="E45" s="5" t="inlineStr"/>
      <c r="F45" s="5" t="inlineStr"/>
      <c r="G45" s="5" t="inlineStr"/>
    </row>
    <row r="46">
      <c r="A46" s="6" t="inlineStr"/>
      <c r="B46" s="9">
        <f>IF($A46="","",YEAR($A46))</f>
        <v/>
      </c>
      <c r="C46" s="5" t="inlineStr"/>
      <c r="D46" s="9">
        <f>IFERROR(VLOOKUP($C46,ANIMALS!$A$2:$T$61,8,FALSE),"")</f>
        <v/>
      </c>
      <c r="E46" s="5" t="inlineStr"/>
      <c r="F46" s="5" t="inlineStr"/>
      <c r="G46" s="5" t="inlineStr"/>
    </row>
    <row r="47">
      <c r="A47" s="6" t="inlineStr"/>
      <c r="B47" s="9">
        <f>IF($A47="","",YEAR($A47))</f>
        <v/>
      </c>
      <c r="C47" s="5" t="inlineStr"/>
      <c r="D47" s="9">
        <f>IFERROR(VLOOKUP($C47,ANIMALS!$A$2:$T$61,8,FALSE),"")</f>
        <v/>
      </c>
      <c r="E47" s="5" t="inlineStr"/>
      <c r="F47" s="5" t="inlineStr"/>
      <c r="G47" s="5" t="inlineStr"/>
    </row>
    <row r="48">
      <c r="A48" s="6" t="inlineStr"/>
      <c r="B48" s="9">
        <f>IF($A48="","",YEAR($A48))</f>
        <v/>
      </c>
      <c r="C48" s="5" t="inlineStr"/>
      <c r="D48" s="9">
        <f>IFERROR(VLOOKUP($C48,ANIMALS!$A$2:$T$61,8,FALSE),"")</f>
        <v/>
      </c>
      <c r="E48" s="5" t="inlineStr"/>
      <c r="F48" s="5" t="inlineStr"/>
      <c r="G48" s="5" t="inlineStr"/>
    </row>
    <row r="49">
      <c r="A49" s="6" t="inlineStr"/>
      <c r="B49" s="9">
        <f>IF($A49="","",YEAR($A49))</f>
        <v/>
      </c>
      <c r="C49" s="5" t="inlineStr"/>
      <c r="D49" s="9">
        <f>IFERROR(VLOOKUP($C49,ANIMALS!$A$2:$T$61,8,FALSE),"")</f>
        <v/>
      </c>
      <c r="E49" s="5" t="inlineStr"/>
      <c r="F49" s="5" t="inlineStr"/>
      <c r="G49" s="5" t="inlineStr"/>
    </row>
    <row r="50">
      <c r="A50" s="6" t="inlineStr"/>
      <c r="B50" s="9">
        <f>IF($A50="","",YEAR($A50))</f>
        <v/>
      </c>
      <c r="C50" s="5" t="inlineStr"/>
      <c r="D50" s="9">
        <f>IFERROR(VLOOKUP($C50,ANIMALS!$A$2:$T$61,8,FALSE),"")</f>
        <v/>
      </c>
      <c r="E50" s="5" t="inlineStr"/>
      <c r="F50" s="5" t="inlineStr"/>
      <c r="G50" s="5" t="inlineStr"/>
    </row>
    <row r="51">
      <c r="A51" s="6" t="inlineStr"/>
      <c r="B51" s="9">
        <f>IF($A51="","",YEAR($A51))</f>
        <v/>
      </c>
      <c r="C51" s="5" t="inlineStr"/>
      <c r="D51" s="9">
        <f>IFERROR(VLOOKUP($C51,ANIMALS!$A$2:$T$61,8,FALSE),"")</f>
        <v/>
      </c>
      <c r="E51" s="5" t="inlineStr"/>
      <c r="F51" s="5" t="inlineStr"/>
      <c r="G51" s="5" t="inlineStr"/>
    </row>
    <row r="52">
      <c r="A52" s="6" t="inlineStr"/>
      <c r="B52" s="9">
        <f>IF($A52="","",YEAR($A52))</f>
        <v/>
      </c>
      <c r="C52" s="5" t="inlineStr"/>
      <c r="D52" s="9">
        <f>IFERROR(VLOOKUP($C52,ANIMALS!$A$2:$T$61,8,FALSE),"")</f>
        <v/>
      </c>
      <c r="E52" s="5" t="inlineStr"/>
      <c r="F52" s="5" t="inlineStr"/>
      <c r="G52" s="5" t="inlineStr"/>
    </row>
    <row r="53">
      <c r="A53" s="6" t="inlineStr"/>
      <c r="B53" s="9">
        <f>IF($A53="","",YEAR($A53))</f>
        <v/>
      </c>
      <c r="C53" s="5" t="inlineStr"/>
      <c r="D53" s="9">
        <f>IFERROR(VLOOKUP($C53,ANIMALS!$A$2:$T$61,8,FALSE),"")</f>
        <v/>
      </c>
      <c r="E53" s="5" t="inlineStr"/>
      <c r="F53" s="5" t="inlineStr"/>
      <c r="G53" s="5" t="inlineStr"/>
    </row>
    <row r="54">
      <c r="A54" s="6" t="inlineStr"/>
      <c r="B54" s="9">
        <f>IF($A54="","",YEAR($A54))</f>
        <v/>
      </c>
      <c r="C54" s="5" t="inlineStr"/>
      <c r="D54" s="9">
        <f>IFERROR(VLOOKUP($C54,ANIMALS!$A$2:$T$61,8,FALSE),"")</f>
        <v/>
      </c>
      <c r="E54" s="5" t="inlineStr"/>
      <c r="F54" s="5" t="inlineStr"/>
      <c r="G54" s="5" t="inlineStr"/>
    </row>
    <row r="55">
      <c r="A55" s="6" t="inlineStr"/>
      <c r="B55" s="9">
        <f>IF($A55="","",YEAR($A55))</f>
        <v/>
      </c>
      <c r="C55" s="5" t="inlineStr"/>
      <c r="D55" s="9">
        <f>IFERROR(VLOOKUP($C55,ANIMALS!$A$2:$T$61,8,FALSE),"")</f>
        <v/>
      </c>
      <c r="E55" s="5" t="inlineStr"/>
      <c r="F55" s="5" t="inlineStr"/>
      <c r="G55" s="5" t="inlineStr"/>
    </row>
    <row r="56">
      <c r="A56" s="6" t="inlineStr"/>
      <c r="B56" s="9">
        <f>IF($A56="","",YEAR($A56))</f>
        <v/>
      </c>
      <c r="C56" s="5" t="inlineStr"/>
      <c r="D56" s="9">
        <f>IFERROR(VLOOKUP($C56,ANIMALS!$A$2:$T$61,8,FALSE),"")</f>
        <v/>
      </c>
      <c r="E56" s="5" t="inlineStr"/>
      <c r="F56" s="5" t="inlineStr"/>
      <c r="G56" s="5" t="inlineStr"/>
    </row>
    <row r="57">
      <c r="A57" s="6" t="inlineStr"/>
      <c r="B57" s="9">
        <f>IF($A57="","",YEAR($A57))</f>
        <v/>
      </c>
      <c r="C57" s="5" t="inlineStr"/>
      <c r="D57" s="9">
        <f>IFERROR(VLOOKUP($C57,ANIMALS!$A$2:$T$61,8,FALSE),"")</f>
        <v/>
      </c>
      <c r="E57" s="5" t="inlineStr"/>
      <c r="F57" s="5" t="inlineStr"/>
      <c r="G57" s="5" t="inlineStr"/>
    </row>
    <row r="58">
      <c r="A58" s="6" t="inlineStr"/>
      <c r="B58" s="9">
        <f>IF($A58="","",YEAR($A58))</f>
        <v/>
      </c>
      <c r="C58" s="5" t="inlineStr"/>
      <c r="D58" s="9">
        <f>IFERROR(VLOOKUP($C58,ANIMALS!$A$2:$T$61,8,FALSE),"")</f>
        <v/>
      </c>
      <c r="E58" s="5" t="inlineStr"/>
      <c r="F58" s="5" t="inlineStr"/>
      <c r="G58" s="5" t="inlineStr"/>
    </row>
    <row r="59">
      <c r="A59" s="6" t="inlineStr"/>
      <c r="B59" s="9">
        <f>IF($A59="","",YEAR($A59))</f>
        <v/>
      </c>
      <c r="C59" s="5" t="inlineStr"/>
      <c r="D59" s="9">
        <f>IFERROR(VLOOKUP($C59,ANIMALS!$A$2:$T$61,8,FALSE),"")</f>
        <v/>
      </c>
      <c r="E59" s="5" t="inlineStr"/>
      <c r="F59" s="5" t="inlineStr"/>
      <c r="G59" s="5" t="inlineStr"/>
    </row>
    <row r="60">
      <c r="A60" s="6" t="inlineStr"/>
      <c r="B60" s="9">
        <f>IF($A60="","",YEAR($A60))</f>
        <v/>
      </c>
      <c r="C60" s="5" t="inlineStr"/>
      <c r="D60" s="9">
        <f>IFERROR(VLOOKUP($C60,ANIMALS!$A$2:$T$61,8,FALSE),"")</f>
        <v/>
      </c>
      <c r="E60" s="5" t="inlineStr"/>
      <c r="F60" s="5" t="inlineStr"/>
      <c r="G60" s="5" t="inlineStr"/>
    </row>
    <row r="61">
      <c r="A61" s="6" t="inlineStr"/>
      <c r="B61" s="9">
        <f>IF($A61="","",YEAR($A61))</f>
        <v/>
      </c>
      <c r="C61" s="5" t="inlineStr"/>
      <c r="D61" s="9">
        <f>IFERROR(VLOOKUP($C61,ANIMALS!$A$2:$T$61,8,FALSE),"")</f>
        <v/>
      </c>
      <c r="E61" s="5" t="inlineStr"/>
      <c r="F61" s="5" t="inlineStr"/>
      <c r="G61" s="5" t="inlineStr"/>
    </row>
    <row r="62">
      <c r="A62" s="6" t="inlineStr"/>
      <c r="B62" s="9">
        <f>IF($A62="","",YEAR($A62))</f>
        <v/>
      </c>
      <c r="C62" s="5" t="inlineStr"/>
      <c r="D62" s="9">
        <f>IFERROR(VLOOKUP($C62,ANIMALS!$A$2:$T$61,8,FALSE),"")</f>
        <v/>
      </c>
      <c r="E62" s="5" t="inlineStr"/>
      <c r="F62" s="5" t="inlineStr"/>
      <c r="G62" s="5" t="inlineStr"/>
    </row>
    <row r="63">
      <c r="A63" s="6" t="inlineStr"/>
      <c r="B63" s="9">
        <f>IF($A63="","",YEAR($A63))</f>
        <v/>
      </c>
      <c r="C63" s="5" t="inlineStr"/>
      <c r="D63" s="9">
        <f>IFERROR(VLOOKUP($C63,ANIMALS!$A$2:$T$61,8,FALSE),"")</f>
        <v/>
      </c>
      <c r="E63" s="5" t="inlineStr"/>
      <c r="F63" s="5" t="inlineStr"/>
      <c r="G63" s="5" t="inlineStr"/>
    </row>
    <row r="64">
      <c r="A64" s="6" t="inlineStr"/>
      <c r="B64" s="9">
        <f>IF($A64="","",YEAR($A64))</f>
        <v/>
      </c>
      <c r="C64" s="5" t="inlineStr"/>
      <c r="D64" s="9">
        <f>IFERROR(VLOOKUP($C64,ANIMALS!$A$2:$T$61,8,FALSE),"")</f>
        <v/>
      </c>
      <c r="E64" s="5" t="inlineStr"/>
      <c r="F64" s="5" t="inlineStr"/>
      <c r="G64" s="5" t="inlineStr"/>
    </row>
    <row r="65">
      <c r="A65" s="6" t="inlineStr"/>
      <c r="B65" s="9">
        <f>IF($A65="","",YEAR($A65))</f>
        <v/>
      </c>
      <c r="C65" s="5" t="inlineStr"/>
      <c r="D65" s="9">
        <f>IFERROR(VLOOKUP($C65,ANIMALS!$A$2:$T$61,8,FALSE),"")</f>
        <v/>
      </c>
      <c r="E65" s="5" t="inlineStr"/>
      <c r="F65" s="5" t="inlineStr"/>
      <c r="G65" s="5" t="inlineStr"/>
    </row>
    <row r="66">
      <c r="A66" s="6" t="inlineStr"/>
      <c r="B66" s="9">
        <f>IF($A66="","",YEAR($A66))</f>
        <v/>
      </c>
      <c r="C66" s="5" t="inlineStr"/>
      <c r="D66" s="9">
        <f>IFERROR(VLOOKUP($C66,ANIMALS!$A$2:$T$61,8,FALSE),"")</f>
        <v/>
      </c>
      <c r="E66" s="5" t="inlineStr"/>
      <c r="F66" s="5" t="inlineStr"/>
      <c r="G66" s="5" t="inlineStr"/>
    </row>
    <row r="67">
      <c r="A67" s="6" t="inlineStr"/>
      <c r="B67" s="9">
        <f>IF($A67="","",YEAR($A67))</f>
        <v/>
      </c>
      <c r="C67" s="5" t="inlineStr"/>
      <c r="D67" s="9">
        <f>IFERROR(VLOOKUP($C67,ANIMALS!$A$2:$T$61,8,FALSE),"")</f>
        <v/>
      </c>
      <c r="E67" s="5" t="inlineStr"/>
      <c r="F67" s="5" t="inlineStr"/>
      <c r="G67" s="5" t="inlineStr"/>
    </row>
    <row r="68">
      <c r="A68" s="6" t="inlineStr"/>
      <c r="B68" s="9">
        <f>IF($A68="","",YEAR($A68))</f>
        <v/>
      </c>
      <c r="C68" s="5" t="inlineStr"/>
      <c r="D68" s="9">
        <f>IFERROR(VLOOKUP($C68,ANIMALS!$A$2:$T$61,8,FALSE),"")</f>
        <v/>
      </c>
      <c r="E68" s="5" t="inlineStr"/>
      <c r="F68" s="5" t="inlineStr"/>
      <c r="G68" s="5" t="inlineStr"/>
    </row>
    <row r="69">
      <c r="A69" s="6" t="inlineStr"/>
      <c r="B69" s="9">
        <f>IF($A69="","",YEAR($A69))</f>
        <v/>
      </c>
      <c r="C69" s="5" t="inlineStr"/>
      <c r="D69" s="9">
        <f>IFERROR(VLOOKUP($C69,ANIMALS!$A$2:$T$61,8,FALSE),"")</f>
        <v/>
      </c>
      <c r="E69" s="5" t="inlineStr"/>
      <c r="F69" s="5" t="inlineStr"/>
      <c r="G69" s="5" t="inlineStr"/>
    </row>
    <row r="70">
      <c r="A70" s="6" t="inlineStr"/>
      <c r="B70" s="9">
        <f>IF($A70="","",YEAR($A70))</f>
        <v/>
      </c>
      <c r="C70" s="5" t="inlineStr"/>
      <c r="D70" s="9">
        <f>IFERROR(VLOOKUP($C70,ANIMALS!$A$2:$T$61,8,FALSE),"")</f>
        <v/>
      </c>
      <c r="E70" s="5" t="inlineStr"/>
      <c r="F70" s="5" t="inlineStr"/>
      <c r="G70" s="5" t="inlineStr"/>
    </row>
    <row r="71">
      <c r="A71" s="6" t="inlineStr"/>
      <c r="B71" s="9">
        <f>IF($A71="","",YEAR($A71))</f>
        <v/>
      </c>
      <c r="C71" s="5" t="inlineStr"/>
      <c r="D71" s="9">
        <f>IFERROR(VLOOKUP($C71,ANIMALS!$A$2:$T$61,8,FALSE),"")</f>
        <v/>
      </c>
      <c r="E71" s="5" t="inlineStr"/>
      <c r="F71" s="5" t="inlineStr"/>
      <c r="G71" s="5" t="inlineStr"/>
    </row>
    <row r="72">
      <c r="A72" s="6" t="inlineStr"/>
      <c r="B72" s="9">
        <f>IF($A72="","",YEAR($A72))</f>
        <v/>
      </c>
      <c r="C72" s="5" t="inlineStr"/>
      <c r="D72" s="9">
        <f>IFERROR(VLOOKUP($C72,ANIMALS!$A$2:$T$61,8,FALSE),"")</f>
        <v/>
      </c>
      <c r="E72" s="5" t="inlineStr"/>
      <c r="F72" s="5" t="inlineStr"/>
      <c r="G72" s="5" t="inlineStr"/>
    </row>
    <row r="73">
      <c r="A73" s="6" t="inlineStr"/>
      <c r="B73" s="9">
        <f>IF($A73="","",YEAR($A73))</f>
        <v/>
      </c>
      <c r="C73" s="5" t="inlineStr"/>
      <c r="D73" s="9">
        <f>IFERROR(VLOOKUP($C73,ANIMALS!$A$2:$T$61,8,FALSE),"")</f>
        <v/>
      </c>
      <c r="E73" s="5" t="inlineStr"/>
      <c r="F73" s="5" t="inlineStr"/>
      <c r="G73" s="5" t="inlineStr"/>
    </row>
    <row r="74">
      <c r="A74" s="6" t="inlineStr"/>
      <c r="B74" s="9">
        <f>IF($A74="","",YEAR($A74))</f>
        <v/>
      </c>
      <c r="C74" s="5" t="inlineStr"/>
      <c r="D74" s="9">
        <f>IFERROR(VLOOKUP($C74,ANIMALS!$A$2:$T$61,8,FALSE),"")</f>
        <v/>
      </c>
      <c r="E74" s="5" t="inlineStr"/>
      <c r="F74" s="5" t="inlineStr"/>
      <c r="G74" s="5" t="inlineStr"/>
    </row>
    <row r="75">
      <c r="A75" s="6" t="inlineStr"/>
      <c r="B75" s="9">
        <f>IF($A75="","",YEAR($A75))</f>
        <v/>
      </c>
      <c r="C75" s="5" t="inlineStr"/>
      <c r="D75" s="9">
        <f>IFERROR(VLOOKUP($C75,ANIMALS!$A$2:$T$61,8,FALSE),"")</f>
        <v/>
      </c>
      <c r="E75" s="5" t="inlineStr"/>
      <c r="F75" s="5" t="inlineStr"/>
      <c r="G75" s="5" t="inlineStr"/>
    </row>
    <row r="76">
      <c r="A76" s="6" t="inlineStr"/>
      <c r="B76" s="9">
        <f>IF($A76="","",YEAR($A76))</f>
        <v/>
      </c>
      <c r="C76" s="5" t="inlineStr"/>
      <c r="D76" s="9">
        <f>IFERROR(VLOOKUP($C76,ANIMALS!$A$2:$T$61,8,FALSE),"")</f>
        <v/>
      </c>
      <c r="E76" s="5" t="inlineStr"/>
      <c r="F76" s="5" t="inlineStr"/>
      <c r="G76" s="5" t="inlineStr"/>
    </row>
    <row r="77">
      <c r="A77" s="6" t="inlineStr"/>
      <c r="B77" s="9">
        <f>IF($A77="","",YEAR($A77))</f>
        <v/>
      </c>
      <c r="C77" s="5" t="inlineStr"/>
      <c r="D77" s="9">
        <f>IFERROR(VLOOKUP($C77,ANIMALS!$A$2:$T$61,8,FALSE),"")</f>
        <v/>
      </c>
      <c r="E77" s="5" t="inlineStr"/>
      <c r="F77" s="5" t="inlineStr"/>
      <c r="G77" s="5" t="inlineStr"/>
    </row>
    <row r="78">
      <c r="A78" s="6" t="inlineStr"/>
      <c r="B78" s="9">
        <f>IF($A78="","",YEAR($A78))</f>
        <v/>
      </c>
      <c r="C78" s="5" t="inlineStr"/>
      <c r="D78" s="9">
        <f>IFERROR(VLOOKUP($C78,ANIMALS!$A$2:$T$61,8,FALSE),"")</f>
        <v/>
      </c>
      <c r="E78" s="5" t="inlineStr"/>
      <c r="F78" s="5" t="inlineStr"/>
      <c r="G78" s="5" t="inlineStr"/>
    </row>
    <row r="79">
      <c r="A79" s="6" t="inlineStr"/>
      <c r="B79" s="9">
        <f>IF($A79="","",YEAR($A79))</f>
        <v/>
      </c>
      <c r="C79" s="5" t="inlineStr"/>
      <c r="D79" s="9">
        <f>IFERROR(VLOOKUP($C79,ANIMALS!$A$2:$T$61,8,FALSE),"")</f>
        <v/>
      </c>
      <c r="E79" s="5" t="inlineStr"/>
      <c r="F79" s="5" t="inlineStr"/>
      <c r="G79" s="5" t="inlineStr"/>
    </row>
    <row r="80">
      <c r="A80" s="6" t="inlineStr"/>
      <c r="B80" s="9">
        <f>IF($A80="","",YEAR($A80))</f>
        <v/>
      </c>
      <c r="C80" s="5" t="inlineStr"/>
      <c r="D80" s="9">
        <f>IFERROR(VLOOKUP($C80,ANIMALS!$A$2:$T$61,8,FALSE),"")</f>
        <v/>
      </c>
      <c r="E80" s="5" t="inlineStr"/>
      <c r="F80" s="5" t="inlineStr"/>
      <c r="G80" s="5" t="inlineStr"/>
    </row>
    <row r="81">
      <c r="A81" s="6" t="inlineStr"/>
      <c r="B81" s="9">
        <f>IF($A81="","",YEAR($A81))</f>
        <v/>
      </c>
      <c r="C81" s="5" t="inlineStr"/>
      <c r="D81" s="9">
        <f>IFERROR(VLOOKUP($C81,ANIMALS!$A$2:$T$61,8,FALSE),"")</f>
        <v/>
      </c>
      <c r="E81" s="5" t="inlineStr"/>
      <c r="F81" s="5" t="inlineStr"/>
      <c r="G81" s="5" t="inlineStr"/>
    </row>
    <row r="82">
      <c r="A82" s="6" t="inlineStr"/>
      <c r="B82" s="9">
        <f>IF($A82="","",YEAR($A82))</f>
        <v/>
      </c>
      <c r="C82" s="5" t="inlineStr"/>
      <c r="D82" s="9">
        <f>IFERROR(VLOOKUP($C82,ANIMALS!$A$2:$T$61,8,FALSE),"")</f>
        <v/>
      </c>
      <c r="E82" s="5" t="inlineStr"/>
      <c r="F82" s="5" t="inlineStr"/>
      <c r="G82" s="5" t="inlineStr"/>
    </row>
    <row r="83">
      <c r="A83" s="6" t="inlineStr"/>
      <c r="B83" s="9">
        <f>IF($A83="","",YEAR($A83))</f>
        <v/>
      </c>
      <c r="C83" s="5" t="inlineStr"/>
      <c r="D83" s="9">
        <f>IFERROR(VLOOKUP($C83,ANIMALS!$A$2:$T$61,8,FALSE),"")</f>
        <v/>
      </c>
      <c r="E83" s="5" t="inlineStr"/>
      <c r="F83" s="5" t="inlineStr"/>
      <c r="G83" s="5" t="inlineStr"/>
    </row>
    <row r="84">
      <c r="A84" s="6" t="inlineStr"/>
      <c r="B84" s="9">
        <f>IF($A84="","",YEAR($A84))</f>
        <v/>
      </c>
      <c r="C84" s="5" t="inlineStr"/>
      <c r="D84" s="9">
        <f>IFERROR(VLOOKUP($C84,ANIMALS!$A$2:$T$61,8,FALSE),"")</f>
        <v/>
      </c>
      <c r="E84" s="5" t="inlineStr"/>
      <c r="F84" s="5" t="inlineStr"/>
      <c r="G84" s="5" t="inlineStr"/>
    </row>
    <row r="85">
      <c r="A85" s="6" t="inlineStr"/>
      <c r="B85" s="9">
        <f>IF($A85="","",YEAR($A85))</f>
        <v/>
      </c>
      <c r="C85" s="5" t="inlineStr"/>
      <c r="D85" s="9">
        <f>IFERROR(VLOOKUP($C85,ANIMALS!$A$2:$T$61,8,FALSE),"")</f>
        <v/>
      </c>
      <c r="E85" s="5" t="inlineStr"/>
      <c r="F85" s="5" t="inlineStr"/>
      <c r="G85" s="5" t="inlineStr"/>
    </row>
    <row r="86">
      <c r="A86" s="6" t="inlineStr"/>
      <c r="B86" s="9">
        <f>IF($A86="","",YEAR($A86))</f>
        <v/>
      </c>
      <c r="C86" s="5" t="inlineStr"/>
      <c r="D86" s="9">
        <f>IFERROR(VLOOKUP($C86,ANIMALS!$A$2:$T$61,8,FALSE),"")</f>
        <v/>
      </c>
      <c r="E86" s="5" t="inlineStr"/>
      <c r="F86" s="5" t="inlineStr"/>
      <c r="G86" s="5" t="inlineStr"/>
    </row>
    <row r="87">
      <c r="A87" s="6" t="inlineStr"/>
      <c r="B87" s="9">
        <f>IF($A87="","",YEAR($A87))</f>
        <v/>
      </c>
      <c r="C87" s="5" t="inlineStr"/>
      <c r="D87" s="9">
        <f>IFERROR(VLOOKUP($C87,ANIMALS!$A$2:$T$61,8,FALSE),"")</f>
        <v/>
      </c>
      <c r="E87" s="5" t="inlineStr"/>
      <c r="F87" s="5" t="inlineStr"/>
      <c r="G87" s="5" t="inlineStr"/>
    </row>
    <row r="88">
      <c r="A88" s="6" t="inlineStr"/>
      <c r="B88" s="9">
        <f>IF($A88="","",YEAR($A88))</f>
        <v/>
      </c>
      <c r="C88" s="5" t="inlineStr"/>
      <c r="D88" s="9">
        <f>IFERROR(VLOOKUP($C88,ANIMALS!$A$2:$T$61,8,FALSE),"")</f>
        <v/>
      </c>
      <c r="E88" s="5" t="inlineStr"/>
      <c r="F88" s="5" t="inlineStr"/>
      <c r="G88" s="5" t="inlineStr"/>
    </row>
    <row r="89">
      <c r="A89" s="6" t="inlineStr"/>
      <c r="B89" s="9">
        <f>IF($A89="","",YEAR($A89))</f>
        <v/>
      </c>
      <c r="C89" s="5" t="inlineStr"/>
      <c r="D89" s="9">
        <f>IFERROR(VLOOKUP($C89,ANIMALS!$A$2:$T$61,8,FALSE),"")</f>
        <v/>
      </c>
      <c r="E89" s="5" t="inlineStr"/>
      <c r="F89" s="5" t="inlineStr"/>
      <c r="G89" s="5" t="inlineStr"/>
    </row>
    <row r="90">
      <c r="A90" s="6" t="inlineStr"/>
      <c r="B90" s="9">
        <f>IF($A90="","",YEAR($A90))</f>
        <v/>
      </c>
      <c r="C90" s="5" t="inlineStr"/>
      <c r="D90" s="9">
        <f>IFERROR(VLOOKUP($C90,ANIMALS!$A$2:$T$61,8,FALSE),"")</f>
        <v/>
      </c>
      <c r="E90" s="5" t="inlineStr"/>
      <c r="F90" s="5" t="inlineStr"/>
      <c r="G90" s="5" t="inlineStr"/>
    </row>
    <row r="91">
      <c r="A91" s="6" t="inlineStr"/>
      <c r="B91" s="9">
        <f>IF($A91="","",YEAR($A91))</f>
        <v/>
      </c>
      <c r="C91" s="5" t="inlineStr"/>
      <c r="D91" s="9">
        <f>IFERROR(VLOOKUP($C91,ANIMALS!$A$2:$T$61,8,FALSE),"")</f>
        <v/>
      </c>
      <c r="E91" s="5" t="inlineStr"/>
      <c r="F91" s="5" t="inlineStr"/>
      <c r="G91" s="5" t="inlineStr"/>
    </row>
    <row r="92">
      <c r="A92" s="6" t="inlineStr"/>
      <c r="B92" s="9">
        <f>IF($A92="","",YEAR($A92))</f>
        <v/>
      </c>
      <c r="C92" s="5" t="inlineStr"/>
      <c r="D92" s="9">
        <f>IFERROR(VLOOKUP($C92,ANIMALS!$A$2:$T$61,8,FALSE),"")</f>
        <v/>
      </c>
      <c r="E92" s="5" t="inlineStr"/>
      <c r="F92" s="5" t="inlineStr"/>
      <c r="G92" s="5" t="inlineStr"/>
    </row>
    <row r="93">
      <c r="A93" s="6" t="inlineStr"/>
      <c r="B93" s="9">
        <f>IF($A93="","",YEAR($A93))</f>
        <v/>
      </c>
      <c r="C93" s="5" t="inlineStr"/>
      <c r="D93" s="9">
        <f>IFERROR(VLOOKUP($C93,ANIMALS!$A$2:$T$61,8,FALSE),"")</f>
        <v/>
      </c>
      <c r="E93" s="5" t="inlineStr"/>
      <c r="F93" s="5" t="inlineStr"/>
      <c r="G93" s="5" t="inlineStr"/>
    </row>
    <row r="94">
      <c r="A94" s="6" t="inlineStr"/>
      <c r="B94" s="9">
        <f>IF($A94="","",YEAR($A94))</f>
        <v/>
      </c>
      <c r="C94" s="5" t="inlineStr"/>
      <c r="D94" s="9">
        <f>IFERROR(VLOOKUP($C94,ANIMALS!$A$2:$T$61,8,FALSE),"")</f>
        <v/>
      </c>
      <c r="E94" s="5" t="inlineStr"/>
      <c r="F94" s="5" t="inlineStr"/>
      <c r="G94" s="5" t="inlineStr"/>
    </row>
    <row r="95">
      <c r="A95" s="6" t="inlineStr"/>
      <c r="B95" s="9">
        <f>IF($A95="","",YEAR($A95))</f>
        <v/>
      </c>
      <c r="C95" s="5" t="inlineStr"/>
      <c r="D95" s="9">
        <f>IFERROR(VLOOKUP($C95,ANIMALS!$A$2:$T$61,8,FALSE),"")</f>
        <v/>
      </c>
      <c r="E95" s="5" t="inlineStr"/>
      <c r="F95" s="5" t="inlineStr"/>
      <c r="G95" s="5" t="inlineStr"/>
    </row>
    <row r="96">
      <c r="A96" s="6" t="inlineStr"/>
      <c r="B96" s="9">
        <f>IF($A96="","",YEAR($A96))</f>
        <v/>
      </c>
      <c r="C96" s="5" t="inlineStr"/>
      <c r="D96" s="9">
        <f>IFERROR(VLOOKUP($C96,ANIMALS!$A$2:$T$61,8,FALSE),"")</f>
        <v/>
      </c>
      <c r="E96" s="5" t="inlineStr"/>
      <c r="F96" s="5" t="inlineStr"/>
      <c r="G96" s="5" t="inlineStr"/>
    </row>
    <row r="97">
      <c r="A97" s="6" t="inlineStr"/>
      <c r="B97" s="9">
        <f>IF($A97="","",YEAR($A97))</f>
        <v/>
      </c>
      <c r="C97" s="5" t="inlineStr"/>
      <c r="D97" s="9">
        <f>IFERROR(VLOOKUP($C97,ANIMALS!$A$2:$T$61,8,FALSE),"")</f>
        <v/>
      </c>
      <c r="E97" s="5" t="inlineStr"/>
      <c r="F97" s="5" t="inlineStr"/>
      <c r="G97" s="5" t="inlineStr"/>
    </row>
    <row r="98">
      <c r="A98" s="6" t="inlineStr"/>
      <c r="B98" s="9">
        <f>IF($A98="","",YEAR($A98))</f>
        <v/>
      </c>
      <c r="C98" s="5" t="inlineStr"/>
      <c r="D98" s="9">
        <f>IFERROR(VLOOKUP($C98,ANIMALS!$A$2:$T$61,8,FALSE),"")</f>
        <v/>
      </c>
      <c r="E98" s="5" t="inlineStr"/>
      <c r="F98" s="5" t="inlineStr"/>
      <c r="G98" s="5" t="inlineStr"/>
    </row>
    <row r="99">
      <c r="A99" s="6" t="inlineStr"/>
      <c r="B99" s="9">
        <f>IF($A99="","",YEAR($A99))</f>
        <v/>
      </c>
      <c r="C99" s="5" t="inlineStr"/>
      <c r="D99" s="9">
        <f>IFERROR(VLOOKUP($C99,ANIMALS!$A$2:$T$61,8,FALSE),"")</f>
        <v/>
      </c>
      <c r="E99" s="5" t="inlineStr"/>
      <c r="F99" s="5" t="inlineStr"/>
      <c r="G99" s="5" t="inlineStr"/>
    </row>
    <row r="100">
      <c r="A100" s="6" t="inlineStr"/>
      <c r="B100" s="9">
        <f>IF($A100="","",YEAR($A100))</f>
        <v/>
      </c>
      <c r="C100" s="5" t="inlineStr"/>
      <c r="D100" s="9">
        <f>IFERROR(VLOOKUP($C100,ANIMALS!$A$2:$T$61,8,FALSE),"")</f>
        <v/>
      </c>
      <c r="E100" s="5" t="inlineStr"/>
      <c r="F100" s="5" t="inlineStr"/>
      <c r="G100" s="5" t="inlineStr"/>
    </row>
    <row r="101">
      <c r="A101" s="6" t="inlineStr"/>
      <c r="B101" s="9">
        <f>IF($A101="","",YEAR($A101))</f>
        <v/>
      </c>
      <c r="C101" s="5" t="inlineStr"/>
      <c r="D101" s="9">
        <f>IFERROR(VLOOKUP($C101,ANIMALS!$A$2:$T$61,8,FALSE),"")</f>
        <v/>
      </c>
      <c r="E101" s="5" t="inlineStr"/>
      <c r="F101" s="5" t="inlineStr"/>
      <c r="G101" s="5" t="inlineStr"/>
    </row>
    <row r="102">
      <c r="A102" s="6" t="inlineStr"/>
      <c r="B102" s="9">
        <f>IF($A102="","",YEAR($A102))</f>
        <v/>
      </c>
      <c r="C102" s="5" t="inlineStr"/>
      <c r="D102" s="9">
        <f>IFERROR(VLOOKUP($C102,ANIMALS!$A$2:$T$61,8,FALSE),"")</f>
        <v/>
      </c>
      <c r="E102" s="5" t="inlineStr"/>
      <c r="F102" s="5" t="inlineStr"/>
      <c r="G102" s="5" t="inlineStr"/>
    </row>
    <row r="103">
      <c r="A103" s="6" t="inlineStr"/>
      <c r="B103" s="9">
        <f>IF($A103="","",YEAR($A103))</f>
        <v/>
      </c>
      <c r="C103" s="5" t="inlineStr"/>
      <c r="D103" s="9">
        <f>IFERROR(VLOOKUP($C103,ANIMALS!$A$2:$T$61,8,FALSE),"")</f>
        <v/>
      </c>
      <c r="E103" s="5" t="inlineStr"/>
      <c r="F103" s="5" t="inlineStr"/>
      <c r="G103" s="5" t="inlineStr"/>
    </row>
    <row r="104">
      <c r="A104" s="6" t="inlineStr"/>
      <c r="B104" s="9">
        <f>IF($A104="","",YEAR($A104))</f>
        <v/>
      </c>
      <c r="C104" s="5" t="inlineStr"/>
      <c r="D104" s="9">
        <f>IFERROR(VLOOKUP($C104,ANIMALS!$A$2:$T$61,8,FALSE),"")</f>
        <v/>
      </c>
      <c r="E104" s="5" t="inlineStr"/>
      <c r="F104" s="5" t="inlineStr"/>
      <c r="G104" s="5" t="inlineStr"/>
    </row>
    <row r="105">
      <c r="A105" s="6" t="inlineStr"/>
      <c r="B105" s="9">
        <f>IF($A105="","",YEAR($A105))</f>
        <v/>
      </c>
      <c r="C105" s="5" t="inlineStr"/>
      <c r="D105" s="9">
        <f>IFERROR(VLOOKUP($C105,ANIMALS!$A$2:$T$61,8,FALSE),"")</f>
        <v/>
      </c>
      <c r="E105" s="5" t="inlineStr"/>
      <c r="F105" s="5" t="inlineStr"/>
      <c r="G105" s="5" t="inlineStr"/>
    </row>
    <row r="106">
      <c r="A106" s="6" t="inlineStr"/>
      <c r="B106" s="9">
        <f>IF($A106="","",YEAR($A106))</f>
        <v/>
      </c>
      <c r="C106" s="5" t="inlineStr"/>
      <c r="D106" s="9">
        <f>IFERROR(VLOOKUP($C106,ANIMALS!$A$2:$T$61,8,FALSE),"")</f>
        <v/>
      </c>
      <c r="E106" s="5" t="inlineStr"/>
      <c r="F106" s="5" t="inlineStr"/>
      <c r="G106" s="5" t="inlineStr"/>
    </row>
    <row r="107">
      <c r="A107" s="6" t="inlineStr"/>
      <c r="B107" s="9">
        <f>IF($A107="","",YEAR($A107))</f>
        <v/>
      </c>
      <c r="C107" s="5" t="inlineStr"/>
      <c r="D107" s="9">
        <f>IFERROR(VLOOKUP($C107,ANIMALS!$A$2:$T$61,8,FALSE),"")</f>
        <v/>
      </c>
      <c r="E107" s="5" t="inlineStr"/>
      <c r="F107" s="5" t="inlineStr"/>
      <c r="G107" s="5" t="inlineStr"/>
    </row>
    <row r="108">
      <c r="A108" s="6" t="inlineStr"/>
      <c r="B108" s="9">
        <f>IF($A108="","",YEAR($A108))</f>
        <v/>
      </c>
      <c r="C108" s="5" t="inlineStr"/>
      <c r="D108" s="9">
        <f>IFERROR(VLOOKUP($C108,ANIMALS!$A$2:$T$61,8,FALSE),"")</f>
        <v/>
      </c>
      <c r="E108" s="5" t="inlineStr"/>
      <c r="F108" s="5" t="inlineStr"/>
      <c r="G108" s="5" t="inlineStr"/>
    </row>
    <row r="109">
      <c r="A109" s="6" t="inlineStr"/>
      <c r="B109" s="9">
        <f>IF($A109="","",YEAR($A109))</f>
        <v/>
      </c>
      <c r="C109" s="5" t="inlineStr"/>
      <c r="D109" s="9">
        <f>IFERROR(VLOOKUP($C109,ANIMALS!$A$2:$T$61,8,FALSE),"")</f>
        <v/>
      </c>
      <c r="E109" s="5" t="inlineStr"/>
      <c r="F109" s="5" t="inlineStr"/>
      <c r="G109" s="5" t="inlineStr"/>
    </row>
    <row r="110">
      <c r="A110" s="6" t="inlineStr"/>
      <c r="B110" s="9">
        <f>IF($A110="","",YEAR($A110))</f>
        <v/>
      </c>
      <c r="C110" s="5" t="inlineStr"/>
      <c r="D110" s="9">
        <f>IFERROR(VLOOKUP($C110,ANIMALS!$A$2:$T$61,8,FALSE),"")</f>
        <v/>
      </c>
      <c r="E110" s="5" t="inlineStr"/>
      <c r="F110" s="5" t="inlineStr"/>
      <c r="G110" s="5" t="inlineStr"/>
    </row>
    <row r="111">
      <c r="A111" s="6" t="inlineStr"/>
      <c r="B111" s="9">
        <f>IF($A111="","",YEAR($A111))</f>
        <v/>
      </c>
      <c r="C111" s="5" t="inlineStr"/>
      <c r="D111" s="9">
        <f>IFERROR(VLOOKUP($C111,ANIMALS!$A$2:$T$61,8,FALSE),"")</f>
        <v/>
      </c>
      <c r="E111" s="5" t="inlineStr"/>
      <c r="F111" s="5" t="inlineStr"/>
      <c r="G111" s="5" t="inlineStr"/>
    </row>
    <row r="112">
      <c r="A112" s="6" t="inlineStr"/>
      <c r="B112" s="9">
        <f>IF($A112="","",YEAR($A112))</f>
        <v/>
      </c>
      <c r="C112" s="5" t="inlineStr"/>
      <c r="D112" s="9">
        <f>IFERROR(VLOOKUP($C112,ANIMALS!$A$2:$T$61,8,FALSE),"")</f>
        <v/>
      </c>
      <c r="E112" s="5" t="inlineStr"/>
      <c r="F112" s="5" t="inlineStr"/>
      <c r="G112" s="5" t="inlineStr"/>
    </row>
    <row r="113">
      <c r="A113" s="6" t="inlineStr"/>
      <c r="B113" s="9">
        <f>IF($A113="","",YEAR($A113))</f>
        <v/>
      </c>
      <c r="C113" s="5" t="inlineStr"/>
      <c r="D113" s="9">
        <f>IFERROR(VLOOKUP($C113,ANIMALS!$A$2:$T$61,8,FALSE),"")</f>
        <v/>
      </c>
      <c r="E113" s="5" t="inlineStr"/>
      <c r="F113" s="5" t="inlineStr"/>
      <c r="G113" s="5" t="inlineStr"/>
    </row>
    <row r="114">
      <c r="A114" s="6" t="inlineStr"/>
      <c r="B114" s="9">
        <f>IF($A114="","",YEAR($A114))</f>
        <v/>
      </c>
      <c r="C114" s="5" t="inlineStr"/>
      <c r="D114" s="9">
        <f>IFERROR(VLOOKUP($C114,ANIMALS!$A$2:$T$61,8,FALSE),"")</f>
        <v/>
      </c>
      <c r="E114" s="5" t="inlineStr"/>
      <c r="F114" s="5" t="inlineStr"/>
      <c r="G114" s="5" t="inlineStr"/>
    </row>
    <row r="115">
      <c r="A115" s="6" t="inlineStr"/>
      <c r="B115" s="9">
        <f>IF($A115="","",YEAR($A115))</f>
        <v/>
      </c>
      <c r="C115" s="5" t="inlineStr"/>
      <c r="D115" s="9">
        <f>IFERROR(VLOOKUP($C115,ANIMALS!$A$2:$T$61,8,FALSE),"")</f>
        <v/>
      </c>
      <c r="E115" s="5" t="inlineStr"/>
      <c r="F115" s="5" t="inlineStr"/>
      <c r="G115" s="5" t="inlineStr"/>
    </row>
    <row r="116">
      <c r="A116" s="6" t="inlineStr"/>
      <c r="B116" s="9">
        <f>IF($A116="","",YEAR($A116))</f>
        <v/>
      </c>
      <c r="C116" s="5" t="inlineStr"/>
      <c r="D116" s="9">
        <f>IFERROR(VLOOKUP($C116,ANIMALS!$A$2:$T$61,8,FALSE),"")</f>
        <v/>
      </c>
      <c r="E116" s="5" t="inlineStr"/>
      <c r="F116" s="5" t="inlineStr"/>
      <c r="G116" s="5" t="inlineStr"/>
    </row>
    <row r="117">
      <c r="A117" s="6" t="inlineStr"/>
      <c r="B117" s="9">
        <f>IF($A117="","",YEAR($A117))</f>
        <v/>
      </c>
      <c r="C117" s="5" t="inlineStr"/>
      <c r="D117" s="9">
        <f>IFERROR(VLOOKUP($C117,ANIMALS!$A$2:$T$61,8,FALSE),"")</f>
        <v/>
      </c>
      <c r="E117" s="5" t="inlineStr"/>
      <c r="F117" s="5" t="inlineStr"/>
      <c r="G117" s="5" t="inlineStr"/>
    </row>
    <row r="118">
      <c r="A118" s="6" t="inlineStr"/>
      <c r="B118" s="9">
        <f>IF($A118="","",YEAR($A118))</f>
        <v/>
      </c>
      <c r="C118" s="5" t="inlineStr"/>
      <c r="D118" s="9">
        <f>IFERROR(VLOOKUP($C118,ANIMALS!$A$2:$T$61,8,FALSE),"")</f>
        <v/>
      </c>
      <c r="E118" s="5" t="inlineStr"/>
      <c r="F118" s="5" t="inlineStr"/>
      <c r="G118" s="5" t="inlineStr"/>
    </row>
    <row r="119">
      <c r="A119" s="6" t="inlineStr"/>
      <c r="B119" s="9">
        <f>IF($A119="","",YEAR($A119))</f>
        <v/>
      </c>
      <c r="C119" s="5" t="inlineStr"/>
      <c r="D119" s="9">
        <f>IFERROR(VLOOKUP($C119,ANIMALS!$A$2:$T$61,8,FALSE),"")</f>
        <v/>
      </c>
      <c r="E119" s="5" t="inlineStr"/>
      <c r="F119" s="5" t="inlineStr"/>
      <c r="G119" s="5" t="inlineStr"/>
    </row>
    <row r="120">
      <c r="A120" s="6" t="inlineStr"/>
      <c r="B120" s="9">
        <f>IF($A120="","",YEAR($A120))</f>
        <v/>
      </c>
      <c r="C120" s="5" t="inlineStr"/>
      <c r="D120" s="9">
        <f>IFERROR(VLOOKUP($C120,ANIMALS!$A$2:$T$61,8,FALSE),"")</f>
        <v/>
      </c>
      <c r="E120" s="5" t="inlineStr"/>
      <c r="F120" s="5" t="inlineStr"/>
      <c r="G120" s="5" t="inlineStr"/>
    </row>
    <row r="121">
      <c r="A121" s="6" t="inlineStr"/>
      <c r="B121" s="9">
        <f>IF($A121="","",YEAR($A121))</f>
        <v/>
      </c>
      <c r="C121" s="5" t="inlineStr"/>
      <c r="D121" s="9">
        <f>IFERROR(VLOOKUP($C121,ANIMALS!$A$2:$T$61,8,FALSE),"")</f>
        <v/>
      </c>
      <c r="E121" s="5" t="inlineStr"/>
      <c r="F121" s="5" t="inlineStr"/>
      <c r="G121" s="5" t="inlineStr"/>
    </row>
    <row r="122">
      <c r="A122" s="6" t="inlineStr"/>
      <c r="B122" s="9">
        <f>IF($A122="","",YEAR($A122))</f>
        <v/>
      </c>
      <c r="C122" s="5" t="inlineStr"/>
      <c r="D122" s="9">
        <f>IFERROR(VLOOKUP($C122,ANIMALS!$A$2:$T$61,8,FALSE),"")</f>
        <v/>
      </c>
      <c r="E122" s="5" t="inlineStr"/>
      <c r="F122" s="5" t="inlineStr"/>
      <c r="G122" s="5" t="inlineStr"/>
    </row>
    <row r="123">
      <c r="A123" s="6" t="inlineStr"/>
      <c r="B123" s="9">
        <f>IF($A123="","",YEAR($A123))</f>
        <v/>
      </c>
      <c r="C123" s="5" t="inlineStr"/>
      <c r="D123" s="9">
        <f>IFERROR(VLOOKUP($C123,ANIMALS!$A$2:$T$61,8,FALSE),"")</f>
        <v/>
      </c>
      <c r="E123" s="5" t="inlineStr"/>
      <c r="F123" s="5" t="inlineStr"/>
      <c r="G123" s="5" t="inlineStr"/>
    </row>
    <row r="124">
      <c r="A124" s="6" t="inlineStr"/>
      <c r="B124" s="9">
        <f>IF($A124="","",YEAR($A124))</f>
        <v/>
      </c>
      <c r="C124" s="5" t="inlineStr"/>
      <c r="D124" s="9">
        <f>IFERROR(VLOOKUP($C124,ANIMALS!$A$2:$T$61,8,FALSE),"")</f>
        <v/>
      </c>
      <c r="E124" s="5" t="inlineStr"/>
      <c r="F124" s="5" t="inlineStr"/>
      <c r="G124" s="5" t="inlineStr"/>
    </row>
    <row r="125">
      <c r="A125" s="6" t="inlineStr"/>
      <c r="B125" s="9">
        <f>IF($A125="","",YEAR($A125))</f>
        <v/>
      </c>
      <c r="C125" s="5" t="inlineStr"/>
      <c r="D125" s="9">
        <f>IFERROR(VLOOKUP($C125,ANIMALS!$A$2:$T$61,8,FALSE),"")</f>
        <v/>
      </c>
      <c r="E125" s="5" t="inlineStr"/>
      <c r="F125" s="5" t="inlineStr"/>
      <c r="G125" s="5" t="inlineStr"/>
    </row>
    <row r="126">
      <c r="A126" s="6" t="inlineStr"/>
      <c r="B126" s="9">
        <f>IF($A126="","",YEAR($A126))</f>
        <v/>
      </c>
      <c r="C126" s="5" t="inlineStr"/>
      <c r="D126" s="9">
        <f>IFERROR(VLOOKUP($C126,ANIMALS!$A$2:$T$61,8,FALSE),"")</f>
        <v/>
      </c>
      <c r="E126" s="5" t="inlineStr"/>
      <c r="F126" s="5" t="inlineStr"/>
      <c r="G126" s="5" t="inlineStr"/>
    </row>
    <row r="127">
      <c r="A127" s="6" t="inlineStr"/>
      <c r="B127" s="9">
        <f>IF($A127="","",YEAR($A127))</f>
        <v/>
      </c>
      <c r="C127" s="5" t="inlineStr"/>
      <c r="D127" s="9">
        <f>IFERROR(VLOOKUP($C127,ANIMALS!$A$2:$T$61,8,FALSE),"")</f>
        <v/>
      </c>
      <c r="E127" s="5" t="inlineStr"/>
      <c r="F127" s="5" t="inlineStr"/>
      <c r="G127" s="5" t="inlineStr"/>
    </row>
    <row r="128">
      <c r="A128" s="6" t="inlineStr"/>
      <c r="B128" s="9">
        <f>IF($A128="","",YEAR($A128))</f>
        <v/>
      </c>
      <c r="C128" s="5" t="inlineStr"/>
      <c r="D128" s="9">
        <f>IFERROR(VLOOKUP($C128,ANIMALS!$A$2:$T$61,8,FALSE),"")</f>
        <v/>
      </c>
      <c r="E128" s="5" t="inlineStr"/>
      <c r="F128" s="5" t="inlineStr"/>
      <c r="G128" s="5" t="inlineStr"/>
    </row>
    <row r="129">
      <c r="A129" s="6" t="inlineStr"/>
      <c r="B129" s="9">
        <f>IF($A129="","",YEAR($A129))</f>
        <v/>
      </c>
      <c r="C129" s="5" t="inlineStr"/>
      <c r="D129" s="9">
        <f>IFERROR(VLOOKUP($C129,ANIMALS!$A$2:$T$61,8,FALSE),"")</f>
        <v/>
      </c>
      <c r="E129" s="5" t="inlineStr"/>
      <c r="F129" s="5" t="inlineStr"/>
      <c r="G129" s="5" t="inlineStr"/>
    </row>
    <row r="130">
      <c r="A130" s="6" t="inlineStr"/>
      <c r="B130" s="9">
        <f>IF($A130="","",YEAR($A130))</f>
        <v/>
      </c>
      <c r="C130" s="5" t="inlineStr"/>
      <c r="D130" s="9">
        <f>IFERROR(VLOOKUP($C130,ANIMALS!$A$2:$T$61,8,FALSE),"")</f>
        <v/>
      </c>
      <c r="E130" s="5" t="inlineStr"/>
      <c r="F130" s="5" t="inlineStr"/>
      <c r="G130" s="5" t="inlineStr"/>
    </row>
    <row r="131">
      <c r="A131" s="6" t="inlineStr"/>
      <c r="B131" s="9">
        <f>IF($A131="","",YEAR($A131))</f>
        <v/>
      </c>
      <c r="C131" s="5" t="inlineStr"/>
      <c r="D131" s="9">
        <f>IFERROR(VLOOKUP($C131,ANIMALS!$A$2:$T$61,8,FALSE),"")</f>
        <v/>
      </c>
      <c r="E131" s="5" t="inlineStr"/>
      <c r="F131" s="5" t="inlineStr"/>
      <c r="G131" s="5" t="inlineStr"/>
    </row>
    <row r="132">
      <c r="A132" s="6" t="inlineStr"/>
      <c r="B132" s="9">
        <f>IF($A132="","",YEAR($A132))</f>
        <v/>
      </c>
      <c r="C132" s="5" t="inlineStr"/>
      <c r="D132" s="9">
        <f>IFERROR(VLOOKUP($C132,ANIMALS!$A$2:$T$61,8,FALSE),"")</f>
        <v/>
      </c>
      <c r="E132" s="5" t="inlineStr"/>
      <c r="F132" s="5" t="inlineStr"/>
      <c r="G132" s="5" t="inlineStr"/>
    </row>
    <row r="133">
      <c r="A133" s="6" t="inlineStr"/>
      <c r="B133" s="9">
        <f>IF($A133="","",YEAR($A133))</f>
        <v/>
      </c>
      <c r="C133" s="5" t="inlineStr"/>
      <c r="D133" s="9">
        <f>IFERROR(VLOOKUP($C133,ANIMALS!$A$2:$T$61,8,FALSE),"")</f>
        <v/>
      </c>
      <c r="E133" s="5" t="inlineStr"/>
      <c r="F133" s="5" t="inlineStr"/>
      <c r="G133" s="5" t="inlineStr"/>
    </row>
    <row r="134">
      <c r="A134" s="6" t="inlineStr"/>
      <c r="B134" s="9">
        <f>IF($A134="","",YEAR($A134))</f>
        <v/>
      </c>
      <c r="C134" s="5" t="inlineStr"/>
      <c r="D134" s="9">
        <f>IFERROR(VLOOKUP($C134,ANIMALS!$A$2:$T$61,8,FALSE),"")</f>
        <v/>
      </c>
      <c r="E134" s="5" t="inlineStr"/>
      <c r="F134" s="5" t="inlineStr"/>
      <c r="G134" s="5" t="inlineStr"/>
    </row>
    <row r="135">
      <c r="A135" s="6" t="inlineStr"/>
      <c r="B135" s="9">
        <f>IF($A135="","",YEAR($A135))</f>
        <v/>
      </c>
      <c r="C135" s="5" t="inlineStr"/>
      <c r="D135" s="9">
        <f>IFERROR(VLOOKUP($C135,ANIMALS!$A$2:$T$61,8,FALSE),"")</f>
        <v/>
      </c>
      <c r="E135" s="5" t="inlineStr"/>
      <c r="F135" s="5" t="inlineStr"/>
      <c r="G135" s="5" t="inlineStr"/>
    </row>
    <row r="136">
      <c r="A136" s="6" t="inlineStr"/>
      <c r="B136" s="9">
        <f>IF($A136="","",YEAR($A136))</f>
        <v/>
      </c>
      <c r="C136" s="5" t="inlineStr"/>
      <c r="D136" s="9">
        <f>IFERROR(VLOOKUP($C136,ANIMALS!$A$2:$T$61,8,FALSE),"")</f>
        <v/>
      </c>
      <c r="E136" s="5" t="inlineStr"/>
      <c r="F136" s="5" t="inlineStr"/>
      <c r="G136" s="5" t="inlineStr"/>
    </row>
    <row r="137">
      <c r="A137" s="6" t="inlineStr"/>
      <c r="B137" s="9">
        <f>IF($A137="","",YEAR($A137))</f>
        <v/>
      </c>
      <c r="C137" s="5" t="inlineStr"/>
      <c r="D137" s="9">
        <f>IFERROR(VLOOKUP($C137,ANIMALS!$A$2:$T$61,8,FALSE),"")</f>
        <v/>
      </c>
      <c r="E137" s="5" t="inlineStr"/>
      <c r="F137" s="5" t="inlineStr"/>
      <c r="G137" s="5" t="inlineStr"/>
    </row>
    <row r="138">
      <c r="A138" s="6" t="inlineStr"/>
      <c r="B138" s="9">
        <f>IF($A138="","",YEAR($A138))</f>
        <v/>
      </c>
      <c r="C138" s="5" t="inlineStr"/>
      <c r="D138" s="9">
        <f>IFERROR(VLOOKUP($C138,ANIMALS!$A$2:$T$61,8,FALSE),"")</f>
        <v/>
      </c>
      <c r="E138" s="5" t="inlineStr"/>
      <c r="F138" s="5" t="inlineStr"/>
      <c r="G138" s="5" t="inlineStr"/>
    </row>
    <row r="139">
      <c r="A139" s="6" t="inlineStr"/>
      <c r="B139" s="9">
        <f>IF($A139="","",YEAR($A139))</f>
        <v/>
      </c>
      <c r="C139" s="5" t="inlineStr"/>
      <c r="D139" s="9">
        <f>IFERROR(VLOOKUP($C139,ANIMALS!$A$2:$T$61,8,FALSE),"")</f>
        <v/>
      </c>
      <c r="E139" s="5" t="inlineStr"/>
      <c r="F139" s="5" t="inlineStr"/>
      <c r="G139" s="5" t="inlineStr"/>
    </row>
    <row r="140">
      <c r="A140" s="6" t="inlineStr"/>
      <c r="B140" s="9">
        <f>IF($A140="","",YEAR($A140))</f>
        <v/>
      </c>
      <c r="C140" s="5" t="inlineStr"/>
      <c r="D140" s="9">
        <f>IFERROR(VLOOKUP($C140,ANIMALS!$A$2:$T$61,8,FALSE),"")</f>
        <v/>
      </c>
      <c r="E140" s="5" t="inlineStr"/>
      <c r="F140" s="5" t="inlineStr"/>
      <c r="G140" s="5" t="inlineStr"/>
    </row>
    <row r="141">
      <c r="A141" s="6" t="inlineStr"/>
      <c r="B141" s="9">
        <f>IF($A141="","",YEAR($A141))</f>
        <v/>
      </c>
      <c r="C141" s="5" t="inlineStr"/>
      <c r="D141" s="9">
        <f>IFERROR(VLOOKUP($C141,ANIMALS!$A$2:$T$61,8,FALSE),"")</f>
        <v/>
      </c>
      <c r="E141" s="5" t="inlineStr"/>
      <c r="F141" s="5" t="inlineStr"/>
      <c r="G141" s="5" t="inlineStr"/>
    </row>
    <row r="142">
      <c r="A142" s="6" t="inlineStr"/>
      <c r="B142" s="9">
        <f>IF($A142="","",YEAR($A142))</f>
        <v/>
      </c>
      <c r="C142" s="5" t="inlineStr"/>
      <c r="D142" s="9">
        <f>IFERROR(VLOOKUP($C142,ANIMALS!$A$2:$T$61,8,FALSE),"")</f>
        <v/>
      </c>
      <c r="E142" s="5" t="inlineStr"/>
      <c r="F142" s="5" t="inlineStr"/>
      <c r="G142" s="5" t="inlineStr"/>
    </row>
    <row r="143">
      <c r="A143" s="6" t="inlineStr"/>
      <c r="B143" s="9">
        <f>IF($A143="","",YEAR($A143))</f>
        <v/>
      </c>
      <c r="C143" s="5" t="inlineStr"/>
      <c r="D143" s="9">
        <f>IFERROR(VLOOKUP($C143,ANIMALS!$A$2:$T$61,8,FALSE),"")</f>
        <v/>
      </c>
      <c r="E143" s="5" t="inlineStr"/>
      <c r="F143" s="5" t="inlineStr"/>
      <c r="G143" s="5" t="inlineStr"/>
    </row>
    <row r="144">
      <c r="A144" s="6" t="inlineStr"/>
      <c r="B144" s="9">
        <f>IF($A144="","",YEAR($A144))</f>
        <v/>
      </c>
      <c r="C144" s="5" t="inlineStr"/>
      <c r="D144" s="9">
        <f>IFERROR(VLOOKUP($C144,ANIMALS!$A$2:$T$61,8,FALSE),"")</f>
        <v/>
      </c>
      <c r="E144" s="5" t="inlineStr"/>
      <c r="F144" s="5" t="inlineStr"/>
      <c r="G144" s="5" t="inlineStr"/>
    </row>
    <row r="145">
      <c r="A145" s="6" t="inlineStr"/>
      <c r="B145" s="9">
        <f>IF($A145="","",YEAR($A145))</f>
        <v/>
      </c>
      <c r="C145" s="5" t="inlineStr"/>
      <c r="D145" s="9">
        <f>IFERROR(VLOOKUP($C145,ANIMALS!$A$2:$T$61,8,FALSE),"")</f>
        <v/>
      </c>
      <c r="E145" s="5" t="inlineStr"/>
      <c r="F145" s="5" t="inlineStr"/>
      <c r="G145" s="5" t="inlineStr"/>
    </row>
    <row r="146">
      <c r="A146" s="6" t="inlineStr"/>
      <c r="B146" s="9">
        <f>IF($A146="","",YEAR($A146))</f>
        <v/>
      </c>
      <c r="C146" s="5" t="inlineStr"/>
      <c r="D146" s="9">
        <f>IFERROR(VLOOKUP($C146,ANIMALS!$A$2:$T$61,8,FALSE),"")</f>
        <v/>
      </c>
      <c r="E146" s="5" t="inlineStr"/>
      <c r="F146" s="5" t="inlineStr"/>
      <c r="G146" s="5" t="inlineStr"/>
    </row>
    <row r="147">
      <c r="A147" s="6" t="inlineStr"/>
      <c r="B147" s="9">
        <f>IF($A147="","",YEAR($A147))</f>
        <v/>
      </c>
      <c r="C147" s="5" t="inlineStr"/>
      <c r="D147" s="9">
        <f>IFERROR(VLOOKUP($C147,ANIMALS!$A$2:$T$61,8,FALSE),"")</f>
        <v/>
      </c>
      <c r="E147" s="5" t="inlineStr"/>
      <c r="F147" s="5" t="inlineStr"/>
      <c r="G147" s="5" t="inlineStr"/>
    </row>
    <row r="148">
      <c r="A148" s="6" t="inlineStr"/>
      <c r="B148" s="9">
        <f>IF($A148="","",YEAR($A148))</f>
        <v/>
      </c>
      <c r="C148" s="5" t="inlineStr"/>
      <c r="D148" s="9">
        <f>IFERROR(VLOOKUP($C148,ANIMALS!$A$2:$T$61,8,FALSE),"")</f>
        <v/>
      </c>
      <c r="E148" s="5" t="inlineStr"/>
      <c r="F148" s="5" t="inlineStr"/>
      <c r="G148" s="5" t="inlineStr"/>
    </row>
    <row r="149">
      <c r="A149" s="6" t="inlineStr"/>
      <c r="B149" s="9">
        <f>IF($A149="","",YEAR($A149))</f>
        <v/>
      </c>
      <c r="C149" s="5" t="inlineStr"/>
      <c r="D149" s="9">
        <f>IFERROR(VLOOKUP($C149,ANIMALS!$A$2:$T$61,8,FALSE),"")</f>
        <v/>
      </c>
      <c r="E149" s="5" t="inlineStr"/>
      <c r="F149" s="5" t="inlineStr"/>
      <c r="G149" s="5" t="inlineStr"/>
    </row>
    <row r="150">
      <c r="A150" s="6" t="inlineStr"/>
      <c r="B150" s="9">
        <f>IF($A150="","",YEAR($A150))</f>
        <v/>
      </c>
      <c r="C150" s="5" t="inlineStr"/>
      <c r="D150" s="9">
        <f>IFERROR(VLOOKUP($C150,ANIMALS!$A$2:$T$61,8,FALSE),"")</f>
        <v/>
      </c>
      <c r="E150" s="5" t="inlineStr"/>
      <c r="F150" s="5" t="inlineStr"/>
      <c r="G150" s="5" t="inlineStr"/>
    </row>
    <row r="151">
      <c r="A151" s="6" t="inlineStr"/>
      <c r="B151" s="9">
        <f>IF($A151="","",YEAR($A151))</f>
        <v/>
      </c>
      <c r="C151" s="5" t="inlineStr"/>
      <c r="D151" s="9">
        <f>IFERROR(VLOOKUP($C151,ANIMALS!$A$2:$T$61,8,FALSE),"")</f>
        <v/>
      </c>
      <c r="E151" s="5" t="inlineStr"/>
      <c r="F151" s="5" t="inlineStr"/>
      <c r="G151" s="5" t="inlineStr"/>
    </row>
    <row r="152">
      <c r="A152" t="inlineStr">
        <is>
          <t>2023-10-05</t>
        </is>
      </c>
      <c r="C152" t="inlineStr">
        <is>
          <t>TAG_02241</t>
        </is>
      </c>
      <c r="E152" t="inlineStr">
        <is>
          <t>FAMACHA</t>
        </is>
      </c>
      <c r="F152" t="n">
        <v>2</v>
      </c>
      <c r="G152" t="inlineStr">
        <is>
          <t>Score 3 (from Manatee Creek - 2241 (e).csv)</t>
        </is>
      </c>
    </row>
    <row r="153">
      <c r="A153" t="inlineStr">
        <is>
          <t>2023-09-20</t>
        </is>
      </c>
      <c r="C153" t="inlineStr">
        <is>
          <t>SERENDIPITY</t>
        </is>
      </c>
      <c r="E153" t="inlineStr">
        <is>
          <t>FAMACHA</t>
        </is>
      </c>
      <c r="F153" t="n">
        <v>1</v>
      </c>
      <c r="G153" t="inlineStr">
        <is>
          <t>Score 1 (from Manatee Creek - Serendipity.csv)</t>
        </is>
      </c>
    </row>
    <row r="154">
      <c r="A154" t="inlineStr">
        <is>
          <t>2023-09-06</t>
        </is>
      </c>
      <c r="C154" t="inlineStr">
        <is>
          <t>ELSIE</t>
        </is>
      </c>
      <c r="E154" t="inlineStr">
        <is>
          <t>FAMACHA</t>
        </is>
      </c>
      <c r="F154" t="n">
        <v>1</v>
      </c>
      <c r="G154" t="inlineStr">
        <is>
          <t>Score 1 (from Manatee Creek - Elsie (E).csv)</t>
        </is>
      </c>
    </row>
    <row r="155">
      <c r="A155" t="inlineStr">
        <is>
          <t>2023-09-18</t>
        </is>
      </c>
      <c r="C155" t="inlineStr">
        <is>
          <t>ELSIE</t>
        </is>
      </c>
      <c r="E155" t="inlineStr">
        <is>
          <t>FAMACHA</t>
        </is>
      </c>
      <c r="F155" t="n">
        <v>1</v>
      </c>
      <c r="G155" t="inlineStr">
        <is>
          <t>Score 1 (from Manatee Creek - Elsie (E).csv)</t>
        </is>
      </c>
    </row>
    <row r="156">
      <c r="A156" t="inlineStr">
        <is>
          <t>2023-10-05</t>
        </is>
      </c>
      <c r="C156" t="inlineStr">
        <is>
          <t>TAG_02241</t>
        </is>
      </c>
      <c r="E156" t="inlineStr">
        <is>
          <t>FAMACHA</t>
        </is>
      </c>
      <c r="F156" t="n">
        <v>3</v>
      </c>
      <c r="G156" t="inlineStr">
        <is>
          <t>From Manatee Creek - 2241 (e).csv</t>
        </is>
      </c>
    </row>
    <row r="157">
      <c r="A157" t="inlineStr">
        <is>
          <t>Sir Loin</t>
        </is>
      </c>
      <c r="C157" t="inlineStr">
        <is>
          <t>FL51870_0502_PEN_1_2</t>
        </is>
      </c>
      <c r="E157" t="inlineStr">
        <is>
          <t>FAMACHA</t>
        </is>
      </c>
      <c r="F157" t="n">
        <v>0</v>
      </c>
      <c r="G157" t="inlineStr">
        <is>
          <t>From Manatee Creek - GG (Gentle Giant).csv</t>
        </is>
      </c>
    </row>
    <row r="158">
      <c r="A158" t="inlineStr">
        <is>
          <t>2023-09-06</t>
        </is>
      </c>
      <c r="C158" t="inlineStr">
        <is>
          <t>ELSIE</t>
        </is>
      </c>
      <c r="E158" t="inlineStr">
        <is>
          <t>FAMACHA</t>
        </is>
      </c>
      <c r="F158" t="n">
        <v>1</v>
      </c>
      <c r="G158" t="inlineStr">
        <is>
          <t>From Manatee Creek - Elsie (E).csv</t>
        </is>
      </c>
    </row>
    <row r="159">
      <c r="A159" t="inlineStr">
        <is>
          <t>2023-09-18</t>
        </is>
      </c>
      <c r="C159" t="inlineStr">
        <is>
          <t>ELSIE</t>
        </is>
      </c>
      <c r="E159" t="inlineStr">
        <is>
          <t>FAMACHA</t>
        </is>
      </c>
      <c r="F159" t="n">
        <v>1</v>
      </c>
      <c r="G159" t="inlineStr">
        <is>
          <t>From Manatee Creek - Elsie (E).csv</t>
        </is>
      </c>
    </row>
    <row r="160">
      <c r="A160" t="inlineStr">
        <is>
          <t>2023-09-20</t>
        </is>
      </c>
      <c r="C160" t="inlineStr">
        <is>
          <t>SERENDIPITY</t>
        </is>
      </c>
      <c r="E160" t="inlineStr">
        <is>
          <t>FAMACHA</t>
        </is>
      </c>
      <c r="F160" t="n">
        <v>1</v>
      </c>
      <c r="G160" t="inlineStr">
        <is>
          <t>From Manatee Creek - Serendipity.csv</t>
        </is>
      </c>
    </row>
    <row r="161">
      <c r="A161" t="inlineStr">
        <is>
          <t>Sir Loin</t>
        </is>
      </c>
      <c r="C161" t="inlineStr">
        <is>
          <t>OAV_2222_2</t>
        </is>
      </c>
      <c r="E161" t="inlineStr">
        <is>
          <t>FAMACHA</t>
        </is>
      </c>
      <c r="F161" t="n">
        <v>0</v>
      </c>
      <c r="G161" t="inlineStr">
        <is>
          <t>From Manatee Creek - OAV 2222(e).csv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8" customWidth="1" min="5" max="5"/>
    <col width="40" customWidth="1" min="6" max="6"/>
  </cols>
  <sheetData>
    <row r="1" ht="22" customHeight="1">
      <c r="A1" s="4" t="inlineStr">
        <is>
          <t>Year*</t>
        </is>
      </c>
      <c r="B1" s="4" t="inlineStr">
        <is>
          <t>EweID*</t>
        </is>
      </c>
      <c r="C1" s="4" t="inlineStr">
        <is>
          <t>Lambs Born</t>
        </is>
      </c>
      <c r="D1" s="4" t="inlineStr">
        <is>
          <t>Lambs Weaned</t>
        </is>
      </c>
      <c r="E1" s="4" t="inlineStr">
        <is>
          <t>Lamb survival % (calc)</t>
        </is>
      </c>
      <c r="F1" s="4" t="inlineStr">
        <is>
          <t>Notes</t>
        </is>
      </c>
    </row>
    <row r="2">
      <c r="A2" s="5" t="n">
        <v>2026</v>
      </c>
      <c r="B2" s="5" t="inlineStr">
        <is>
          <t>ELSIE</t>
        </is>
      </c>
      <c r="C2" s="5" t="n">
        <v>3</v>
      </c>
      <c r="D2" s="5" t="n"/>
      <c r="E2" s="29">
        <f>IF(OR($C2="",$D2=""),"",IF($C2=0,"",$D2/$C2))</f>
        <v/>
      </c>
      <c r="F2" s="5" t="inlineStr">
        <is>
          <t>Triplets on 2026-01-06: 2 white ewe lambs + 1 black ram lamb; FAMACHA=1</t>
        </is>
      </c>
    </row>
    <row r="3">
      <c r="A3" s="5" t="n"/>
      <c r="B3" s="5" t="n"/>
      <c r="C3" s="5" t="n"/>
      <c r="D3" s="5" t="n"/>
      <c r="E3" s="29">
        <f>IF(OR($C3="",$D3=""),"",IF($C3=0,"",$D3/$C3))</f>
        <v/>
      </c>
      <c r="F3" s="5" t="n"/>
    </row>
    <row r="4">
      <c r="A4" s="5" t="n"/>
      <c r="B4" s="5" t="n"/>
      <c r="C4" s="5" t="n"/>
      <c r="D4" s="5" t="n"/>
      <c r="E4" s="29">
        <f>IF(OR($C4="",$D4=""),"",IF($C4=0,"",$D4/$C4))</f>
        <v/>
      </c>
      <c r="F4" s="5" t="n"/>
    </row>
    <row r="5">
      <c r="A5" s="5" t="n"/>
      <c r="B5" s="5" t="n"/>
      <c r="C5" s="5" t="n"/>
      <c r="D5" s="5" t="n"/>
      <c r="E5" s="29">
        <f>IF(OR($C5="",$D5=""),"",IF($C5=0,"",$D5/$C5))</f>
        <v/>
      </c>
      <c r="F5" s="5" t="n"/>
    </row>
    <row r="6">
      <c r="A6" s="5" t="n"/>
      <c r="B6" s="5" t="n"/>
      <c r="C6" s="5" t="n"/>
      <c r="D6" s="5" t="n"/>
      <c r="E6" s="29">
        <f>IF(OR($C6="",$D6=""),"",IF($C6=0,"",$D6/$C6))</f>
        <v/>
      </c>
      <c r="F6" s="5" t="n"/>
    </row>
    <row r="7">
      <c r="A7" s="5" t="n"/>
      <c r="B7" s="5" t="n"/>
      <c r="C7" s="5" t="n"/>
      <c r="D7" s="5" t="n"/>
      <c r="E7" s="29">
        <f>IF(OR($C7="",$D7=""),"",IF($C7=0,"",$D7/$C7))</f>
        <v/>
      </c>
      <c r="F7" s="5" t="n"/>
    </row>
    <row r="8">
      <c r="A8" s="5" t="n"/>
      <c r="B8" s="5" t="n"/>
      <c r="C8" s="5" t="n"/>
      <c r="D8" s="5" t="n"/>
      <c r="E8" s="29">
        <f>IF(OR($C8="",$D8=""),"",IF($C8=0,"",$D8/$C8))</f>
        <v/>
      </c>
      <c r="F8" s="5" t="n"/>
    </row>
    <row r="9">
      <c r="A9" s="5" t="n"/>
      <c r="B9" s="5" t="n"/>
      <c r="C9" s="5" t="n"/>
      <c r="D9" s="5" t="n"/>
      <c r="E9" s="29">
        <f>IF(OR($C9="",$D9=""),"",IF($C9=0,"",$D9/$C9))</f>
        <v/>
      </c>
      <c r="F9" s="5" t="n"/>
    </row>
    <row r="10">
      <c r="A10" s="5" t="n"/>
      <c r="B10" s="5" t="n"/>
      <c r="C10" s="5" t="n"/>
      <c r="D10" s="5" t="n"/>
      <c r="E10" s="29">
        <f>IF(OR($C10="",$D10=""),"",IF($C10=0,"",$D10/$C10))</f>
        <v/>
      </c>
      <c r="F10" s="5" t="n"/>
    </row>
    <row r="11">
      <c r="A11" s="5" t="n"/>
      <c r="B11" s="5" t="n"/>
      <c r="C11" s="5" t="n"/>
      <c r="D11" s="5" t="n"/>
      <c r="E11" s="29">
        <f>IF(OR($C11="",$D11=""),"",IF($C11=0,"",$D11/$C11))</f>
        <v/>
      </c>
      <c r="F11" s="5" t="n"/>
    </row>
    <row r="12">
      <c r="A12" s="5" t="n"/>
      <c r="B12" s="5" t="n"/>
      <c r="C12" s="5" t="n"/>
      <c r="D12" s="5" t="n"/>
      <c r="E12" s="29">
        <f>IF(OR($C12="",$D12=""),"",IF($C12=0,"",$D12/$C12))</f>
        <v/>
      </c>
      <c r="F12" s="5" t="n"/>
    </row>
    <row r="13">
      <c r="A13" s="5" t="n"/>
      <c r="B13" s="5" t="n"/>
      <c r="C13" s="5" t="n"/>
      <c r="D13" s="5" t="n"/>
      <c r="E13" s="29">
        <f>IF(OR($C13="",$D13=""),"",IF($C13=0,"",$D13/$C13))</f>
        <v/>
      </c>
      <c r="F13" s="5" t="n"/>
    </row>
    <row r="14">
      <c r="A14" s="5" t="n"/>
      <c r="B14" s="5" t="n"/>
      <c r="C14" s="5" t="n"/>
      <c r="D14" s="5" t="n"/>
      <c r="E14" s="29">
        <f>IF(OR($C14="",$D14=""),"",IF($C14=0,"",$D14/$C14))</f>
        <v/>
      </c>
      <c r="F14" s="5" t="n"/>
    </row>
    <row r="15">
      <c r="A15" s="5" t="n"/>
      <c r="B15" s="5" t="n"/>
      <c r="C15" s="5" t="n"/>
      <c r="D15" s="5" t="n"/>
      <c r="E15" s="29">
        <f>IF(OR($C15="",$D15=""),"",IF($C15=0,"",$D15/$C15))</f>
        <v/>
      </c>
      <c r="F15" s="5" t="n"/>
    </row>
    <row r="16">
      <c r="A16" s="5" t="n"/>
      <c r="B16" s="5" t="n"/>
      <c r="C16" s="5" t="n"/>
      <c r="D16" s="5" t="n"/>
      <c r="E16" s="29">
        <f>IF(OR($C16="",$D16=""),"",IF($C16=0,"",$D16/$C16))</f>
        <v/>
      </c>
      <c r="F16" s="5" t="n"/>
    </row>
    <row r="17">
      <c r="A17" s="5" t="n"/>
      <c r="B17" s="5" t="n"/>
      <c r="C17" s="5" t="n"/>
      <c r="D17" s="5" t="n"/>
      <c r="E17" s="29">
        <f>IF(OR($C17="",$D17=""),"",IF($C17=0,"",$D17/$C17))</f>
        <v/>
      </c>
      <c r="F17" s="5" t="n"/>
    </row>
    <row r="18">
      <c r="A18" s="5" t="n"/>
      <c r="B18" s="5" t="n"/>
      <c r="C18" s="5" t="n"/>
      <c r="D18" s="5" t="n"/>
      <c r="E18" s="29">
        <f>IF(OR($C18="",$D18=""),"",IF($C18=0,"",$D18/$C18))</f>
        <v/>
      </c>
      <c r="F18" s="5" t="n"/>
    </row>
    <row r="19">
      <c r="A19" s="5" t="n"/>
      <c r="B19" s="5" t="n"/>
      <c r="C19" s="5" t="n"/>
      <c r="D19" s="5" t="n"/>
      <c r="E19" s="29">
        <f>IF(OR($C19="",$D19=""),"",IF($C19=0,"",$D19/$C19))</f>
        <v/>
      </c>
      <c r="F19" s="5" t="n"/>
    </row>
    <row r="20">
      <c r="A20" s="5" t="n"/>
      <c r="B20" s="5" t="n"/>
      <c r="C20" s="5" t="n"/>
      <c r="D20" s="5" t="n"/>
      <c r="E20" s="29">
        <f>IF(OR($C20="",$D20=""),"",IF($C20=0,"",$D20/$C20))</f>
        <v/>
      </c>
      <c r="F20" s="5" t="n"/>
    </row>
    <row r="21">
      <c r="A21" s="5" t="n"/>
      <c r="B21" s="5" t="n"/>
      <c r="C21" s="5" t="n"/>
      <c r="D21" s="5" t="n"/>
      <c r="E21" s="29">
        <f>IF(OR($C21="",$D21=""),"",IF($C21=0,"",$D21/$C21))</f>
        <v/>
      </c>
      <c r="F21" s="5" t="n"/>
    </row>
    <row r="22">
      <c r="A22" s="5" t="n"/>
      <c r="B22" s="5" t="n"/>
      <c r="C22" s="5" t="n"/>
      <c r="D22" s="5" t="n"/>
      <c r="E22" s="29">
        <f>IF(OR($C22="",$D22=""),"",IF($C22=0,"",$D22/$C22))</f>
        <v/>
      </c>
      <c r="F22" s="5" t="n"/>
    </row>
    <row r="23">
      <c r="A23" s="5" t="n"/>
      <c r="B23" s="5" t="n"/>
      <c r="C23" s="5" t="n"/>
      <c r="D23" s="5" t="n"/>
      <c r="E23" s="29">
        <f>IF(OR($C23="",$D23=""),"",IF($C23=0,"",$D23/$C23))</f>
        <v/>
      </c>
      <c r="F23" s="5" t="n"/>
    </row>
    <row r="24">
      <c r="A24" s="5" t="n"/>
      <c r="B24" s="5" t="n"/>
      <c r="C24" s="5" t="n"/>
      <c r="D24" s="5" t="n"/>
      <c r="E24" s="29">
        <f>IF(OR($C24="",$D24=""),"",IF($C24=0,"",$D24/$C24))</f>
        <v/>
      </c>
      <c r="F24" s="5" t="n"/>
    </row>
    <row r="25">
      <c r="A25" s="5" t="n"/>
      <c r="B25" s="5" t="n"/>
      <c r="C25" s="5" t="n"/>
      <c r="D25" s="5" t="n"/>
      <c r="E25" s="29">
        <f>IF(OR($C25="",$D25=""),"",IF($C25=0,"",$D25/$C25))</f>
        <v/>
      </c>
      <c r="F25" s="5" t="n"/>
    </row>
    <row r="26">
      <c r="A26" s="5" t="n"/>
      <c r="B26" s="5" t="n"/>
      <c r="C26" s="5" t="n"/>
      <c r="D26" s="5" t="n"/>
      <c r="E26" s="29">
        <f>IF(OR($C26="",$D26=""),"",IF($C26=0,"",$D26/$C26))</f>
        <v/>
      </c>
      <c r="F26" s="5" t="n"/>
    </row>
    <row r="27">
      <c r="A27" s="5" t="n"/>
      <c r="B27" s="5" t="n"/>
      <c r="C27" s="5" t="n"/>
      <c r="D27" s="5" t="n"/>
      <c r="E27" s="29">
        <f>IF(OR($C27="",$D27=""),"",IF($C27=0,"",$D27/$C27))</f>
        <v/>
      </c>
      <c r="F27" s="5" t="n"/>
    </row>
    <row r="28">
      <c r="A28" s="5" t="n"/>
      <c r="B28" s="5" t="n"/>
      <c r="C28" s="5" t="n"/>
      <c r="D28" s="5" t="n"/>
      <c r="E28" s="29">
        <f>IF(OR($C28="",$D28=""),"",IF($C28=0,"",$D28/$C28))</f>
        <v/>
      </c>
      <c r="F28" s="5" t="n"/>
    </row>
    <row r="29">
      <c r="A29" s="5" t="n"/>
      <c r="B29" s="5" t="n"/>
      <c r="C29" s="5" t="n"/>
      <c r="D29" s="5" t="n"/>
      <c r="E29" s="29">
        <f>IF(OR($C29="",$D29=""),"",IF($C29=0,"",$D29/$C29))</f>
        <v/>
      </c>
      <c r="F29" s="5" t="n"/>
    </row>
    <row r="30">
      <c r="A30" s="5" t="n"/>
      <c r="B30" s="5" t="n"/>
      <c r="C30" s="5" t="n"/>
      <c r="D30" s="5" t="n"/>
      <c r="E30" s="29">
        <f>IF(OR($C30="",$D30=""),"",IF($C30=0,"",$D30/$C30))</f>
        <v/>
      </c>
      <c r="F30" s="5" t="n"/>
    </row>
    <row r="31">
      <c r="A31" s="5" t="n"/>
      <c r="B31" s="5" t="n"/>
      <c r="C31" s="5" t="n"/>
      <c r="D31" s="5" t="n"/>
      <c r="E31" s="29">
        <f>IF(OR($C31="",$D31=""),"",IF($C31=0,"",$D31/$C31))</f>
        <v/>
      </c>
      <c r="F31" s="5" t="n"/>
    </row>
    <row r="32">
      <c r="A32" s="5" t="n"/>
      <c r="B32" s="5" t="n"/>
      <c r="C32" s="5" t="n"/>
      <c r="D32" s="5" t="n"/>
      <c r="E32" s="29">
        <f>IF(OR($C32="",$D32=""),"",IF($C32=0,"",$D32/$C32))</f>
        <v/>
      </c>
      <c r="F32" s="5" t="n"/>
    </row>
    <row r="33">
      <c r="A33" s="5" t="n"/>
      <c r="B33" s="5" t="n"/>
      <c r="C33" s="5" t="n"/>
      <c r="D33" s="5" t="n"/>
      <c r="E33" s="29">
        <f>IF(OR($C33="",$D33=""),"",IF($C33=0,"",$D33/$C33))</f>
        <v/>
      </c>
      <c r="F33" s="5" t="n"/>
    </row>
    <row r="34">
      <c r="A34" s="5" t="n"/>
      <c r="B34" s="5" t="n"/>
      <c r="C34" s="5" t="n"/>
      <c r="D34" s="5" t="n"/>
      <c r="E34" s="29">
        <f>IF(OR($C34="",$D34=""),"",IF($C34=0,"",$D34/$C34))</f>
        <v/>
      </c>
      <c r="F34" s="5" t="n"/>
    </row>
    <row r="35">
      <c r="A35" s="5" t="n"/>
      <c r="B35" s="5" t="n"/>
      <c r="C35" s="5" t="n"/>
      <c r="D35" s="5" t="n"/>
      <c r="E35" s="29">
        <f>IF(OR($C35="",$D35=""),"",IF($C35=0,"",$D35/$C35))</f>
        <v/>
      </c>
      <c r="F35" s="5" t="n"/>
    </row>
    <row r="36">
      <c r="A36" s="5" t="n"/>
      <c r="B36" s="5" t="n"/>
      <c r="C36" s="5" t="n"/>
      <c r="D36" s="5" t="n"/>
      <c r="E36" s="29">
        <f>IF(OR($C36="",$D36=""),"",IF($C36=0,"",$D36/$C36))</f>
        <v/>
      </c>
      <c r="F36" s="5" t="n"/>
    </row>
    <row r="37">
      <c r="A37" s="5" t="n"/>
      <c r="B37" s="5" t="n"/>
      <c r="C37" s="5" t="n"/>
      <c r="D37" s="5" t="n"/>
      <c r="E37" s="29">
        <f>IF(OR($C37="",$D37=""),"",IF($C37=0,"",$D37/$C37))</f>
        <v/>
      </c>
      <c r="F37" s="5" t="n"/>
    </row>
    <row r="38">
      <c r="A38" s="5" t="n"/>
      <c r="B38" s="5" t="n"/>
      <c r="C38" s="5" t="n"/>
      <c r="D38" s="5" t="n"/>
      <c r="E38" s="29">
        <f>IF(OR($C38="",$D38=""),"",IF($C38=0,"",$D38/$C38))</f>
        <v/>
      </c>
      <c r="F38" s="5" t="n"/>
    </row>
    <row r="39">
      <c r="A39" s="5" t="n"/>
      <c r="B39" s="5" t="n"/>
      <c r="C39" s="5" t="n"/>
      <c r="D39" s="5" t="n"/>
      <c r="E39" s="29">
        <f>IF(OR($C39="",$D39=""),"",IF($C39=0,"",$D39/$C39))</f>
        <v/>
      </c>
      <c r="F39" s="5" t="n"/>
    </row>
    <row r="40">
      <c r="A40" s="5" t="n"/>
      <c r="B40" s="5" t="n"/>
      <c r="C40" s="5" t="n"/>
      <c r="D40" s="5" t="n"/>
      <c r="E40" s="29">
        <f>IF(OR($C40="",$D40=""),"",IF($C40=0,"",$D40/$C40))</f>
        <v/>
      </c>
      <c r="F40" s="5" t="n"/>
    </row>
    <row r="41">
      <c r="A41" s="5" t="n"/>
      <c r="B41" s="5" t="n"/>
      <c r="C41" s="5" t="n"/>
      <c r="D41" s="5" t="n"/>
      <c r="E41" s="29">
        <f>IF(OR($C41="",$D41=""),"",IF($C41=0,"",$D41/$C41))</f>
        <v/>
      </c>
      <c r="F41" s="5" t="n"/>
    </row>
    <row r="42">
      <c r="A42" s="5" t="n"/>
      <c r="B42" s="5" t="n"/>
      <c r="C42" s="5" t="n"/>
      <c r="D42" s="5" t="n"/>
      <c r="E42" s="29">
        <f>IF(OR($C42="",$D42=""),"",IF($C42=0,"",$D42/$C42))</f>
        <v/>
      </c>
      <c r="F42" s="5" t="n"/>
    </row>
    <row r="43">
      <c r="A43" s="5" t="n"/>
      <c r="B43" s="5" t="n"/>
      <c r="C43" s="5" t="n"/>
      <c r="D43" s="5" t="n"/>
      <c r="E43" s="29">
        <f>IF(OR($C43="",$D43=""),"",IF($C43=0,"",$D43/$C43))</f>
        <v/>
      </c>
      <c r="F43" s="5" t="n"/>
    </row>
    <row r="44">
      <c r="A44" s="5" t="n"/>
      <c r="B44" s="5" t="n"/>
      <c r="C44" s="5" t="n"/>
      <c r="D44" s="5" t="n"/>
      <c r="E44" s="29">
        <f>IF(OR($C44="",$D44=""),"",IF($C44=0,"",$D44/$C44))</f>
        <v/>
      </c>
      <c r="F44" s="5" t="n"/>
    </row>
    <row r="45">
      <c r="A45" s="5" t="n"/>
      <c r="B45" s="5" t="n"/>
      <c r="C45" s="5" t="n"/>
      <c r="D45" s="5" t="n"/>
      <c r="E45" s="29">
        <f>IF(OR($C45="",$D45=""),"",IF($C45=0,"",$D45/$C45))</f>
        <v/>
      </c>
      <c r="F45" s="5" t="n"/>
    </row>
    <row r="46">
      <c r="A46" s="5" t="n"/>
      <c r="B46" s="5" t="n"/>
      <c r="C46" s="5" t="n"/>
      <c r="D46" s="5" t="n"/>
      <c r="E46" s="29">
        <f>IF(OR($C46="",$D46=""),"",IF($C46=0,"",$D46/$C46))</f>
        <v/>
      </c>
      <c r="F46" s="5" t="n"/>
    </row>
    <row r="47">
      <c r="A47" s="5" t="n"/>
      <c r="B47" s="5" t="n"/>
      <c r="C47" s="5" t="n"/>
      <c r="D47" s="5" t="n"/>
      <c r="E47" s="29">
        <f>IF(OR($C47="",$D47=""),"",IF($C47=0,"",$D47/$C47))</f>
        <v/>
      </c>
      <c r="F47" s="5" t="n"/>
    </row>
    <row r="48">
      <c r="A48" s="5" t="n"/>
      <c r="B48" s="5" t="n"/>
      <c r="C48" s="5" t="n"/>
      <c r="D48" s="5" t="n"/>
      <c r="E48" s="29">
        <f>IF(OR($C48="",$D48=""),"",IF($C48=0,"",$D48/$C48))</f>
        <v/>
      </c>
      <c r="F48" s="5" t="n"/>
    </row>
    <row r="49">
      <c r="A49" s="5" t="n"/>
      <c r="B49" s="5" t="n"/>
      <c r="C49" s="5" t="n"/>
      <c r="D49" s="5" t="n"/>
      <c r="E49" s="29">
        <f>IF(OR($C49="",$D49=""),"",IF($C49=0,"",$D49/$C49))</f>
        <v/>
      </c>
      <c r="F49" s="5" t="n"/>
    </row>
    <row r="50">
      <c r="A50" s="5" t="n"/>
      <c r="B50" s="5" t="n"/>
      <c r="C50" s="5" t="n"/>
      <c r="D50" s="5" t="n"/>
      <c r="E50" s="29">
        <f>IF(OR($C50="",$D50=""),"",IF($C50=0,"",$D50/$C50))</f>
        <v/>
      </c>
      <c r="F50" s="5" t="n"/>
    </row>
    <row r="51">
      <c r="A51" s="5" t="n"/>
      <c r="B51" s="5" t="n"/>
      <c r="C51" s="5" t="n"/>
      <c r="D51" s="5" t="n"/>
      <c r="E51" s="29">
        <f>IF(OR($C51="",$D51=""),"",IF($C51=0,"",$D51/$C51))</f>
        <v/>
      </c>
      <c r="F51" s="5" t="n"/>
    </row>
    <row r="52">
      <c r="A52" s="5" t="n"/>
      <c r="B52" s="5" t="n"/>
      <c r="C52" s="5" t="n"/>
      <c r="D52" s="5" t="n"/>
      <c r="E52" s="29">
        <f>IF(OR($C52="",$D52=""),"",IF($C52=0,"",$D52/$C52))</f>
        <v/>
      </c>
      <c r="F52" s="5" t="n"/>
    </row>
    <row r="53">
      <c r="A53" s="5" t="n"/>
      <c r="B53" s="5" t="n"/>
      <c r="C53" s="5" t="n"/>
      <c r="D53" s="5" t="n"/>
      <c r="E53" s="29">
        <f>IF(OR($C53="",$D53=""),"",IF($C53=0,"",$D53/$C53))</f>
        <v/>
      </c>
      <c r="F53" s="5" t="n"/>
    </row>
    <row r="54">
      <c r="A54" s="5" t="n"/>
      <c r="B54" s="5" t="n"/>
      <c r="C54" s="5" t="n"/>
      <c r="D54" s="5" t="n"/>
      <c r="E54" s="29">
        <f>IF(OR($C54="",$D54=""),"",IF($C54=0,"",$D54/$C54))</f>
        <v/>
      </c>
      <c r="F54" s="5" t="n"/>
    </row>
    <row r="55">
      <c r="A55" s="5" t="n"/>
      <c r="B55" s="5" t="n"/>
      <c r="C55" s="5" t="n"/>
      <c r="D55" s="5" t="n"/>
      <c r="E55" s="29">
        <f>IF(OR($C55="",$D55=""),"",IF($C55=0,"",$D55/$C55))</f>
        <v/>
      </c>
      <c r="F55" s="5" t="n"/>
    </row>
    <row r="56">
      <c r="A56" s="5" t="n"/>
      <c r="B56" s="5" t="n"/>
      <c r="C56" s="5" t="n"/>
      <c r="D56" s="5" t="n"/>
      <c r="E56" s="29">
        <f>IF(OR($C56="",$D56=""),"",IF($C56=0,"",$D56/$C56))</f>
        <v/>
      </c>
      <c r="F56" s="5" t="n"/>
    </row>
    <row r="57">
      <c r="A57" s="5" t="n"/>
      <c r="B57" s="5" t="n"/>
      <c r="C57" s="5" t="n"/>
      <c r="D57" s="5" t="n"/>
      <c r="E57" s="29">
        <f>IF(OR($C57="",$D57=""),"",IF($C57=0,"",$D57/$C57))</f>
        <v/>
      </c>
      <c r="F57" s="5" t="n"/>
    </row>
    <row r="58">
      <c r="A58" s="5" t="n"/>
      <c r="B58" s="5" t="n"/>
      <c r="C58" s="5" t="n"/>
      <c r="D58" s="5" t="n"/>
      <c r="E58" s="29">
        <f>IF(OR($C58="",$D58=""),"",IF($C58=0,"",$D58/$C58))</f>
        <v/>
      </c>
      <c r="F58" s="5" t="n"/>
    </row>
    <row r="59">
      <c r="A59" s="5" t="n"/>
      <c r="B59" s="5" t="n"/>
      <c r="C59" s="5" t="n"/>
      <c r="D59" s="5" t="n"/>
      <c r="E59" s="29">
        <f>IF(OR($C59="",$D59=""),"",IF($C59=0,"",$D59/$C59))</f>
        <v/>
      </c>
      <c r="F59" s="5" t="n"/>
    </row>
    <row r="60">
      <c r="A60" s="5" t="n"/>
      <c r="B60" s="5" t="n"/>
      <c r="C60" s="5" t="n"/>
      <c r="D60" s="5" t="n"/>
      <c r="E60" s="29">
        <f>IF(OR($C60="",$D60=""),"",IF($C60=0,"",$D60/$C60))</f>
        <v/>
      </c>
      <c r="F60" s="5" t="n"/>
    </row>
    <row r="61">
      <c r="A61" s="5" t="n"/>
      <c r="B61" s="5" t="n"/>
      <c r="C61" s="5" t="n"/>
      <c r="D61" s="5" t="n"/>
      <c r="E61" s="29">
        <f>IF(OR($C61="",$D61=""),"",IF($C61=0,"",$D61/$C61))</f>
        <v/>
      </c>
      <c r="F61" s="5" t="n"/>
    </row>
    <row r="62">
      <c r="A62" s="5" t="n"/>
      <c r="B62" s="5" t="n"/>
      <c r="C62" s="5" t="n"/>
      <c r="D62" s="5" t="n"/>
      <c r="E62" s="29">
        <f>IF(OR($C62="",$D62=""),"",IF($C62=0,"",$D62/$C62))</f>
        <v/>
      </c>
      <c r="F62" s="5" t="n"/>
    </row>
    <row r="63">
      <c r="A63" s="5" t="n"/>
      <c r="B63" s="5" t="n"/>
      <c r="C63" s="5" t="n"/>
      <c r="D63" s="5" t="n"/>
      <c r="E63" s="29">
        <f>IF(OR($C63="",$D63=""),"",IF($C63=0,"",$D63/$C63))</f>
        <v/>
      </c>
      <c r="F63" s="5" t="n"/>
    </row>
    <row r="64">
      <c r="A64" s="5" t="n"/>
      <c r="B64" s="5" t="n"/>
      <c r="C64" s="5" t="n"/>
      <c r="D64" s="5" t="n"/>
      <c r="E64" s="29">
        <f>IF(OR($C64="",$D64=""),"",IF($C64=0,"",$D64/$C64))</f>
        <v/>
      </c>
      <c r="F64" s="5" t="n"/>
    </row>
    <row r="65">
      <c r="A65" s="5" t="n"/>
      <c r="B65" s="5" t="n"/>
      <c r="C65" s="5" t="n"/>
      <c r="D65" s="5" t="n"/>
      <c r="E65" s="29">
        <f>IF(OR($C65="",$D65=""),"",IF($C65=0,"",$D65/$C65))</f>
        <v/>
      </c>
      <c r="F65" s="5" t="n"/>
    </row>
    <row r="66">
      <c r="A66" s="5" t="n"/>
      <c r="B66" s="5" t="n"/>
      <c r="C66" s="5" t="n"/>
      <c r="D66" s="5" t="n"/>
      <c r="E66" s="29">
        <f>IF(OR($C66="",$D66=""),"",IF($C66=0,"",$D66/$C66))</f>
        <v/>
      </c>
      <c r="F66" s="5" t="n"/>
    </row>
    <row r="67">
      <c r="A67" s="5" t="n"/>
      <c r="B67" s="5" t="n"/>
      <c r="C67" s="5" t="n"/>
      <c r="D67" s="5" t="n"/>
      <c r="E67" s="29">
        <f>IF(OR($C67="",$D67=""),"",IF($C67=0,"",$D67/$C67))</f>
        <v/>
      </c>
      <c r="F67" s="5" t="n"/>
    </row>
    <row r="68">
      <c r="A68" s="5" t="n"/>
      <c r="B68" s="5" t="n"/>
      <c r="C68" s="5" t="n"/>
      <c r="D68" s="5" t="n"/>
      <c r="E68" s="29">
        <f>IF(OR($C68="",$D68=""),"",IF($C68=0,"",$D68/$C68))</f>
        <v/>
      </c>
      <c r="F68" s="5" t="n"/>
    </row>
    <row r="69">
      <c r="A69" s="5" t="n"/>
      <c r="B69" s="5" t="n"/>
      <c r="C69" s="5" t="n"/>
      <c r="D69" s="5" t="n"/>
      <c r="E69" s="29">
        <f>IF(OR($C69="",$D69=""),"",IF($C69=0,"",$D69/$C69))</f>
        <v/>
      </c>
      <c r="F69" s="5" t="n"/>
    </row>
    <row r="70">
      <c r="A70" s="5" t="n"/>
      <c r="B70" s="5" t="n"/>
      <c r="C70" s="5" t="n"/>
      <c r="D70" s="5" t="n"/>
      <c r="E70" s="29">
        <f>IF(OR($C70="",$D70=""),"",IF($C70=0,"",$D70/$C70))</f>
        <v/>
      </c>
      <c r="F70" s="5" t="n"/>
    </row>
    <row r="71">
      <c r="A71" s="5" t="n"/>
      <c r="B71" s="5" t="n"/>
      <c r="C71" s="5" t="n"/>
      <c r="D71" s="5" t="n"/>
      <c r="E71" s="29">
        <f>IF(OR($C71="",$D71=""),"",IF($C71=0,"",$D71/$C71))</f>
        <v/>
      </c>
      <c r="F71" s="5" t="n"/>
    </row>
    <row r="72">
      <c r="A72" s="5" t="n"/>
      <c r="B72" s="5" t="n"/>
      <c r="C72" s="5" t="n"/>
      <c r="D72" s="5" t="n"/>
      <c r="E72" s="29">
        <f>IF(OR($C72="",$D72=""),"",IF($C72=0,"",$D72/$C72))</f>
        <v/>
      </c>
      <c r="F72" s="5" t="n"/>
    </row>
    <row r="73">
      <c r="A73" s="5" t="n"/>
      <c r="B73" s="5" t="n"/>
      <c r="C73" s="5" t="n"/>
      <c r="D73" s="5" t="n"/>
      <c r="E73" s="29">
        <f>IF(OR($C73="",$D73=""),"",IF($C73=0,"",$D73/$C73))</f>
        <v/>
      </c>
      <c r="F73" s="5" t="n"/>
    </row>
    <row r="74">
      <c r="A74" s="5" t="n"/>
      <c r="B74" s="5" t="n"/>
      <c r="C74" s="5" t="n"/>
      <c r="D74" s="5" t="n"/>
      <c r="E74" s="29">
        <f>IF(OR($C74="",$D74=""),"",IF($C74=0,"",$D74/$C74))</f>
        <v/>
      </c>
      <c r="F74" s="5" t="n"/>
    </row>
    <row r="75">
      <c r="A75" s="5" t="n"/>
      <c r="B75" s="5" t="n"/>
      <c r="C75" s="5" t="n"/>
      <c r="D75" s="5" t="n"/>
      <c r="E75" s="29">
        <f>IF(OR($C75="",$D75=""),"",IF($C75=0,"",$D75/$C75))</f>
        <v/>
      </c>
      <c r="F75" s="5" t="n"/>
    </row>
    <row r="76">
      <c r="A76" s="5" t="n"/>
      <c r="B76" s="5" t="n"/>
      <c r="C76" s="5" t="n"/>
      <c r="D76" s="5" t="n"/>
      <c r="E76" s="29">
        <f>IF(OR($C76="",$D76=""),"",IF($C76=0,"",$D76/$C76))</f>
        <v/>
      </c>
      <c r="F76" s="5" t="n"/>
    </row>
    <row r="77">
      <c r="A77" s="5" t="n"/>
      <c r="B77" s="5" t="n"/>
      <c r="C77" s="5" t="n"/>
      <c r="D77" s="5" t="n"/>
      <c r="E77" s="29">
        <f>IF(OR($C77="",$D77=""),"",IF($C77=0,"",$D77/$C77))</f>
        <v/>
      </c>
      <c r="F77" s="5" t="n"/>
    </row>
    <row r="78">
      <c r="A78" s="5" t="n"/>
      <c r="B78" s="5" t="n"/>
      <c r="C78" s="5" t="n"/>
      <c r="D78" s="5" t="n"/>
      <c r="E78" s="29">
        <f>IF(OR($C78="",$D78=""),"",IF($C78=0,"",$D78/$C78))</f>
        <v/>
      </c>
      <c r="F78" s="5" t="n"/>
    </row>
    <row r="79">
      <c r="A79" s="5" t="n"/>
      <c r="B79" s="5" t="n"/>
      <c r="C79" s="5" t="n"/>
      <c r="D79" s="5" t="n"/>
      <c r="E79" s="29">
        <f>IF(OR($C79="",$D79=""),"",IF($C79=0,"",$D79/$C79))</f>
        <v/>
      </c>
      <c r="F79" s="5" t="n"/>
    </row>
    <row r="80">
      <c r="A80" s="5" t="n"/>
      <c r="B80" s="5" t="n"/>
      <c r="C80" s="5" t="n"/>
      <c r="D80" s="5" t="n"/>
      <c r="E80" s="29">
        <f>IF(OR($C80="",$D80=""),"",IF($C80=0,"",$D80/$C80))</f>
        <v/>
      </c>
      <c r="F80" s="5" t="n"/>
    </row>
    <row r="81">
      <c r="A81" s="5" t="n"/>
      <c r="B81" s="5" t="n"/>
      <c r="C81" s="5" t="n"/>
      <c r="D81" s="5" t="n"/>
      <c r="E81" s="29">
        <f>IF(OR($C81="",$D81=""),"",IF($C81=0,"",$D81/$C81))</f>
        <v/>
      </c>
      <c r="F81" s="5" t="n"/>
    </row>
    <row r="82">
      <c r="A82" s="5" t="n"/>
      <c r="B82" s="5" t="n"/>
      <c r="C82" s="5" t="n"/>
      <c r="D82" s="5" t="n"/>
      <c r="E82" s="29">
        <f>IF(OR($C82="",$D82=""),"",IF($C82=0,"",$D82/$C82))</f>
        <v/>
      </c>
      <c r="F82" s="5" t="n"/>
    </row>
    <row r="83">
      <c r="A83" s="5" t="n"/>
      <c r="B83" s="5" t="n"/>
      <c r="C83" s="5" t="n"/>
      <c r="D83" s="5" t="n"/>
      <c r="E83" s="29">
        <f>IF(OR($C83="",$D83=""),"",IF($C83=0,"",$D83/$C83))</f>
        <v/>
      </c>
      <c r="F83" s="5" t="n"/>
    </row>
    <row r="84">
      <c r="A84" s="5" t="n"/>
      <c r="B84" s="5" t="n"/>
      <c r="C84" s="5" t="n"/>
      <c r="D84" s="5" t="n"/>
      <c r="E84" s="29">
        <f>IF(OR($C84="",$D84=""),"",IF($C84=0,"",$D84/$C84))</f>
        <v/>
      </c>
      <c r="F84" s="5" t="n"/>
    </row>
    <row r="85">
      <c r="A85" s="5" t="n"/>
      <c r="B85" s="5" t="n"/>
      <c r="C85" s="5" t="n"/>
      <c r="D85" s="5" t="n"/>
      <c r="E85" s="29">
        <f>IF(OR($C85="",$D85=""),"",IF($C85=0,"",$D85/$C85))</f>
        <v/>
      </c>
      <c r="F85" s="5" t="n"/>
    </row>
    <row r="86">
      <c r="A86" s="5" t="n"/>
      <c r="B86" s="5" t="n"/>
      <c r="C86" s="5" t="n"/>
      <c r="D86" s="5" t="n"/>
      <c r="E86" s="29">
        <f>IF(OR($C86="",$D86=""),"",IF($C86=0,"",$D86/$C86))</f>
        <v/>
      </c>
      <c r="F86" s="5" t="n"/>
    </row>
    <row r="87">
      <c r="A87" s="5" t="n"/>
      <c r="B87" s="5" t="n"/>
      <c r="C87" s="5" t="n"/>
      <c r="D87" s="5" t="n"/>
      <c r="E87" s="29">
        <f>IF(OR($C87="",$D87=""),"",IF($C87=0,"",$D87/$C87))</f>
        <v/>
      </c>
      <c r="F87" s="5" t="n"/>
    </row>
    <row r="88">
      <c r="A88" s="5" t="n"/>
      <c r="B88" s="5" t="n"/>
      <c r="C88" s="5" t="n"/>
      <c r="D88" s="5" t="n"/>
      <c r="E88" s="29">
        <f>IF(OR($C88="",$D88=""),"",IF($C88=0,"",$D88/$C88))</f>
        <v/>
      </c>
      <c r="F88" s="5" t="n"/>
    </row>
    <row r="89">
      <c r="A89" s="5" t="n"/>
      <c r="B89" s="5" t="n"/>
      <c r="C89" s="5" t="n"/>
      <c r="D89" s="5" t="n"/>
      <c r="E89" s="29">
        <f>IF(OR($C89="",$D89=""),"",IF($C89=0,"",$D89/$C89))</f>
        <v/>
      </c>
      <c r="F89" s="5" t="n"/>
    </row>
    <row r="90">
      <c r="A90" s="5" t="n"/>
      <c r="B90" s="5" t="n"/>
      <c r="C90" s="5" t="n"/>
      <c r="D90" s="5" t="n"/>
      <c r="E90" s="29">
        <f>IF(OR($C90="",$D90=""),"",IF($C90=0,"",$D90/$C90))</f>
        <v/>
      </c>
      <c r="F90" s="5" t="n"/>
    </row>
    <row r="91">
      <c r="A91" s="5" t="n"/>
      <c r="B91" s="5" t="n"/>
      <c r="C91" s="5" t="n"/>
      <c r="D91" s="5" t="n"/>
      <c r="E91" s="29">
        <f>IF(OR($C91="",$D91=""),"",IF($C91=0,"",$D91/$C91))</f>
        <v/>
      </c>
      <c r="F91" s="5" t="n"/>
    </row>
    <row r="92">
      <c r="A92" s="5" t="n"/>
      <c r="B92" s="5" t="n"/>
      <c r="C92" s="5" t="n"/>
      <c r="D92" s="5" t="n"/>
      <c r="E92" s="29">
        <f>IF(OR($C92="",$D92=""),"",IF($C92=0,"",$D92/$C92))</f>
        <v/>
      </c>
      <c r="F92" s="5" t="n"/>
    </row>
    <row r="93">
      <c r="A93" s="5" t="n"/>
      <c r="B93" s="5" t="n"/>
      <c r="C93" s="5" t="n"/>
      <c r="D93" s="5" t="n"/>
      <c r="E93" s="29">
        <f>IF(OR($C93="",$D93=""),"",IF($C93=0,"",$D93/$C93))</f>
        <v/>
      </c>
      <c r="F93" s="5" t="n"/>
    </row>
    <row r="94">
      <c r="A94" s="5" t="n"/>
      <c r="B94" s="5" t="n"/>
      <c r="C94" s="5" t="n"/>
      <c r="D94" s="5" t="n"/>
      <c r="E94" s="29">
        <f>IF(OR($C94="",$D94=""),"",IF($C94=0,"",$D94/$C94))</f>
        <v/>
      </c>
      <c r="F94" s="5" t="n"/>
    </row>
    <row r="95">
      <c r="A95" s="5" t="n"/>
      <c r="B95" s="5" t="n"/>
      <c r="C95" s="5" t="n"/>
      <c r="D95" s="5" t="n"/>
      <c r="E95" s="29">
        <f>IF(OR($C95="",$D95=""),"",IF($C95=0,"",$D95/$C95))</f>
        <v/>
      </c>
      <c r="F95" s="5" t="n"/>
    </row>
    <row r="96">
      <c r="A96" s="5" t="n"/>
      <c r="B96" s="5" t="n"/>
      <c r="C96" s="5" t="n"/>
      <c r="D96" s="5" t="n"/>
      <c r="E96" s="29">
        <f>IF(OR($C96="",$D96=""),"",IF($C96=0,"",$D96/$C96))</f>
        <v/>
      </c>
      <c r="F96" s="5" t="n"/>
    </row>
    <row r="97">
      <c r="A97" s="5" t="n"/>
      <c r="B97" s="5" t="n"/>
      <c r="C97" s="5" t="n"/>
      <c r="D97" s="5" t="n"/>
      <c r="E97" s="29">
        <f>IF(OR($C97="",$D97=""),"",IF($C97=0,"",$D97/$C97))</f>
        <v/>
      </c>
      <c r="F97" s="5" t="n"/>
    </row>
    <row r="98">
      <c r="A98" s="5" t="n"/>
      <c r="B98" s="5" t="n"/>
      <c r="C98" s="5" t="n"/>
      <c r="D98" s="5" t="n"/>
      <c r="E98" s="29">
        <f>IF(OR($C98="",$D98=""),"",IF($C98=0,"",$D98/$C98))</f>
        <v/>
      </c>
      <c r="F98" s="5" t="n"/>
    </row>
    <row r="99">
      <c r="A99" s="5" t="n"/>
      <c r="B99" s="5" t="n"/>
      <c r="C99" s="5" t="n"/>
      <c r="D99" s="5" t="n"/>
      <c r="E99" s="29">
        <f>IF(OR($C99="",$D99=""),"",IF($C99=0,"",$D99/$C99))</f>
        <v/>
      </c>
      <c r="F99" s="5" t="n"/>
    </row>
    <row r="100">
      <c r="A100" s="5" t="n"/>
      <c r="B100" s="5" t="n"/>
      <c r="C100" s="5" t="n"/>
      <c r="D100" s="5" t="n"/>
      <c r="E100" s="29">
        <f>IF(OR($C100="",$D100=""),"",IF($C100=0,"",$D100/$C100))</f>
        <v/>
      </c>
      <c r="F100" s="5" t="n"/>
    </row>
    <row r="101">
      <c r="A101" s="5" t="inlineStr"/>
      <c r="B101" s="5" t="inlineStr"/>
      <c r="C101" s="5" t="inlineStr"/>
      <c r="D101" s="5" t="inlineStr"/>
      <c r="E101" s="29">
        <f>IF(OR($C101="",$D101=""),"",IF($C101=0,"",$D101/$C101))</f>
        <v/>
      </c>
      <c r="F101" s="5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7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0" customWidth="1" min="4" max="4"/>
    <col width="12" customWidth="1" min="5" max="5"/>
    <col width="10" customWidth="1" min="6" max="6"/>
    <col width="8" customWidth="1" min="7" max="7"/>
    <col width="10" customWidth="1" min="8" max="8"/>
    <col width="10" customWidth="1" min="9" max="9"/>
    <col width="16" customWidth="1" min="10" max="10"/>
    <col width="12" customWidth="1" min="11" max="11"/>
    <col width="10" customWidth="1" min="12" max="12"/>
    <col width="12" customWidth="1" min="13" max="13"/>
    <col width="14" customWidth="1" min="14" max="14"/>
    <col width="12" customWidth="1" min="15" max="15"/>
    <col width="8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 ht="22" customHeight="1">
      <c r="A1" s="1" t="inlineStr">
        <is>
          <t>Index (auto) — ranks animals within each Pen/Group</t>
        </is>
      </c>
    </row>
    <row r="3">
      <c r="A3" s="23" t="inlineStr">
        <is>
          <t>Analysis year</t>
        </is>
      </c>
      <c r="B3" s="3">
        <f>YEAR('WEIGHTS_&amp;_RULES'!$B$3)</f>
        <v/>
      </c>
    </row>
    <row r="5" ht="30" customHeight="1">
      <c r="A5" s="24" t="inlineStr">
        <is>
          <t>AnimalID</t>
        </is>
      </c>
      <c r="B5" s="24" t="inlineStr">
        <is>
          <t>Name</t>
        </is>
      </c>
      <c r="C5" s="24" t="inlineStr">
        <is>
          <t>Sex</t>
        </is>
      </c>
      <c r="D5" s="24" t="inlineStr">
        <is>
          <t>AgeClass</t>
        </is>
      </c>
      <c r="E5" s="24" t="inlineStr">
        <is>
          <t>Pen</t>
        </is>
      </c>
      <c r="F5" s="24" t="inlineStr">
        <is>
          <t>Status</t>
        </is>
      </c>
      <c r="G5" s="24" t="inlineStr">
        <is>
          <t>%Hair</t>
        </is>
      </c>
      <c r="H5" s="24" t="inlineStr">
        <is>
          <t>Exp EweWt</t>
        </is>
      </c>
      <c r="I5" s="24" t="inlineStr">
        <is>
          <t>Exp RamWt</t>
        </is>
      </c>
      <c r="J5" s="24" t="inlineStr">
        <is>
          <t>PrimaryBreed</t>
        </is>
      </c>
      <c r="K5" s="24" t="inlineStr">
        <is>
          <t>FAMACHA avg</t>
        </is>
      </c>
      <c r="L5" s="24" t="inlineStr">
        <is>
          <t>FEC avg</t>
        </is>
      </c>
      <c r="M5" s="24" t="inlineStr">
        <is>
          <t>Deworm count</t>
        </is>
      </c>
      <c r="N5" s="24" t="inlineStr">
        <is>
          <t>Lamb survival %</t>
        </is>
      </c>
      <c r="O5" s="24" t="inlineStr">
        <is>
          <t>Wean/90d wt</t>
        </is>
      </c>
      <c r="P5" s="24" t="inlineStr">
        <is>
          <t>ADG</t>
        </is>
      </c>
      <c r="Q5" s="24" t="inlineStr">
        <is>
          <t>Shedding score</t>
        </is>
      </c>
      <c r="R5" s="24" t="inlineStr">
        <is>
          <t>z(FAMACHA)</t>
        </is>
      </c>
      <c r="S5" s="24" t="inlineStr">
        <is>
          <t>z(FEC)</t>
        </is>
      </c>
      <c r="T5" s="24" t="inlineStr">
        <is>
          <t>z(Deworm)</t>
        </is>
      </c>
      <c r="U5" s="24" t="inlineStr">
        <is>
          <t>z(Survival)</t>
        </is>
      </c>
      <c r="V5" s="24" t="inlineStr">
        <is>
          <t>z(WeanWt)</t>
        </is>
      </c>
      <c r="W5" s="24" t="inlineStr">
        <is>
          <t>z(ADG)</t>
        </is>
      </c>
      <c r="X5" s="24" t="inlineStr">
        <is>
          <t>z(Shedding)</t>
        </is>
      </c>
      <c r="Y5" s="24" t="inlineStr">
        <is>
          <t>Hardiness (H)</t>
        </is>
      </c>
      <c r="Z5" s="24" t="inlineStr">
        <is>
          <t>Meat (M)</t>
        </is>
      </c>
      <c r="AA5" s="24" t="inlineStr">
        <is>
          <t>Hair (Hair)</t>
        </is>
      </c>
      <c r="AB5" s="24" t="inlineStr">
        <is>
          <t>Total Index</t>
        </is>
      </c>
    </row>
    <row r="6">
      <c r="A6" s="9">
        <f>ANIMALS!A2</f>
        <v/>
      </c>
      <c r="B6" s="9">
        <f>ANIMALS!B2</f>
        <v/>
      </c>
      <c r="C6" s="9">
        <f>ANIMALS!D2</f>
        <v/>
      </c>
      <c r="D6" s="9">
        <f>ANIMALS!G2</f>
        <v/>
      </c>
      <c r="E6" s="9">
        <f>ANIMALS!H2</f>
        <v/>
      </c>
      <c r="F6" s="9">
        <f>ANIMALS!I2</f>
        <v/>
      </c>
      <c r="G6" s="9">
        <f>ANIMALS!O2</f>
        <v/>
      </c>
      <c r="H6" s="9">
        <f>ANIMALS!P2</f>
        <v/>
      </c>
      <c r="I6" s="9">
        <f>ANIMALS!Q2</f>
        <v/>
      </c>
      <c r="J6" s="9">
        <f>ANIMALS!R2</f>
        <v/>
      </c>
      <c r="K6" s="27">
        <f>IF($A6="","",AVERAGEIFS(PERFORMANCE!$F$2:$F$1000,PERFORMANCE!$C$2:$C$1000,$A6,PERFORMANCE!$E$2:$E$1000,"FAMACHA",PERFORMANCE!$B$2:$B$1000,$B$3))</f>
        <v/>
      </c>
      <c r="L6" s="7">
        <f>IF($A6="","",AVERAGEIFS(PERFORMANCE!$F$2:$F$1000,PERFORMANCE!$C$2:$C$1000,$A6,PERFORMANCE!$E$2:$E$1000,"FEC",PERFORMANCE!$B$2:$B$1000,$B$3))</f>
        <v/>
      </c>
      <c r="M6" s="7">
        <f>IF($A6="","",COUNTIFS(PERFORMANCE!$C$2:$C$1000,$A6,PERFORMANCE!$E$2:$E$1000,"DEWORM",PERFORMANCE!$B$2:$B$1000,$B$3))</f>
        <v/>
      </c>
      <c r="N6" s="29">
        <f>IF($A6="","",AVERAGEIFS(REPRODUCTION!$E$2:$E$1000,REPRODUCTION!$B$2:$B$1000,$A6,REPRODUCTION!$A$2:$A$1000,$B$3))</f>
        <v/>
      </c>
      <c r="O6" s="27">
        <f>IF($A6="","",AVERAGEIFS(PERFORMANCE!$F$2:$F$1000,PERFORMANCE!$C$2:$C$1000,$A6,PERFORMANCE!$E$2:$E$1000,"WEAN_WT",PERFORMANCE!$B$2:$B$1000,$B$3))</f>
        <v/>
      </c>
      <c r="P6" s="25">
        <f>IF($A6="","",AVERAGEIFS(PERFORMANCE!$F$2:$F$1000,PERFORMANCE!$C$2:$C$1000,$A6,PERFORMANCE!$E$2:$E$1000,"ADG",PERFORMANCE!$B$2:$B$1000,$B$3))</f>
        <v/>
      </c>
      <c r="Q6" s="27">
        <f>IF($A6="","",AVERAGEIFS(PERFORMANCE!$F$2:$F$1000,PERFORMANCE!$C$2:$C$1000,$A6,PERFORMANCE!$E$2:$E$1000,"SHEDDING",PERFORMANCE!$B$2:$B$1000,$B$3))</f>
        <v/>
      </c>
      <c r="R6" s="25">
        <f>IF($K6="","",IF(VLOOKUP($E6,PEN_STATS!$A$2:$V$10,4,FALSE)=0,0,-($K6-VLOOKUP($E6,PEN_STATS!$A$2:$V$10,3,FALSE))/VLOOKUP($E6,PEN_STATS!$A$2:$V$10,4,FALSE)))</f>
        <v/>
      </c>
      <c r="S6" s="25">
        <f>IF($L6="","",IF(VLOOKUP($E6,PEN_STATS!$A$2:$V$10,7,FALSE)=0,0,-($L6-VLOOKUP($E6,PEN_STATS!$A$2:$V$10,6,FALSE))/VLOOKUP($E6,PEN_STATS!$A$2:$V$10,7,FALSE)))</f>
        <v/>
      </c>
      <c r="T6" s="25">
        <f>IF($M6="","",IF(VLOOKUP($E6,PEN_STATS!$A$2:$V$10,10,FALSE)=0,0,-($M6-VLOOKUP($E6,PEN_STATS!$A$2:$V$10,9,FALSE))/VLOOKUP($E6,PEN_STATS!$A$2:$V$10,10,FALSE)))</f>
        <v/>
      </c>
      <c r="U6" s="25">
        <f>IF($N6="","",IF(VLOOKUP($E6,PEN_STATS!$A$2:$V$10,13,FALSE)=0,0,($N6-VLOOKUP($E6,PEN_STATS!$A$2:$V$10,12,FALSE))/VLOOKUP($E6,PEN_STATS!$A$2:$V$10,13,FALSE)))</f>
        <v/>
      </c>
      <c r="V6" s="25">
        <f>IF($O6="","",IF(VLOOKUP($E6,PEN_STATS!$A$2:$V$10,16,FALSE)=0,0,($O6-VLOOKUP($E6,PEN_STATS!$A$2:$V$10,15,FALSE))/VLOOKUP($E6,PEN_STATS!$A$2:$V$10,16,FALSE)))</f>
        <v/>
      </c>
      <c r="W6" s="25">
        <f>IF($P6="","",IF(VLOOKUP($E6,PEN_STATS!$A$2:$V$10,19,FALSE)=0,0,($P6-VLOOKUP($E6,PEN_STATS!$A$2:$V$10,18,FALSE))/VLOOKUP($E6,PEN_STATS!$A$2:$V$10,19,FALSE)))</f>
        <v/>
      </c>
      <c r="X6" s="25">
        <f>IF($Q6="","",IF(VLOOKUP($E6,PEN_STATS!$A$2:$V$10,22,FALSE)=0,0,($Q6-VLOOKUP($E6,PEN_STATS!$A$2:$V$10,21,FALSE))/VLOOKUP($E6,PEN_STATS!$A$2:$V$10,22,FALSE)))</f>
        <v/>
      </c>
      <c r="Y6" s="25">
        <f>IF($A6="","",'WEIGHTS_&amp;_RULES'!$B$12*$R6+'WEIGHTS_&amp;_RULES'!$B$13*$S6+'WEIGHTS_&amp;_RULES'!$B$14*$T6+'WEIGHTS_&amp;_RULES'!$B$15*$U6)</f>
        <v/>
      </c>
      <c r="Z6" s="25">
        <f>IF($A6="","",'WEIGHTS_&amp;_RULES'!$B$19*$V6+'WEIGHTS_&amp;_RULES'!$B$20*$W6)</f>
        <v/>
      </c>
      <c r="AA6" s="25">
        <f>IF($A6="","",'WEIGHTS_&amp;_RULES'!$B$24*$X6)</f>
        <v/>
      </c>
      <c r="AB6" s="25">
        <f>IF($A6="","",'WEIGHTS_&amp;_RULES'!$B$7*$Y6+'WEIGHTS_&amp;_RULES'!$B$8*$Z6+'WEIGHTS_&amp;_RULES'!$B$9*$AA6)</f>
        <v/>
      </c>
    </row>
    <row r="7">
      <c r="A7" s="9">
        <f>ANIMALS!A3</f>
        <v/>
      </c>
      <c r="B7" s="9">
        <f>ANIMALS!B3</f>
        <v/>
      </c>
      <c r="C7" s="9">
        <f>ANIMALS!D3</f>
        <v/>
      </c>
      <c r="D7" s="9">
        <f>ANIMALS!G3</f>
        <v/>
      </c>
      <c r="E7" s="9">
        <f>ANIMALS!H3</f>
        <v/>
      </c>
      <c r="F7" s="9">
        <f>ANIMALS!I3</f>
        <v/>
      </c>
      <c r="G7" s="9">
        <f>ANIMALS!O3</f>
        <v/>
      </c>
      <c r="H7" s="9">
        <f>ANIMALS!P3</f>
        <v/>
      </c>
      <c r="I7" s="9">
        <f>ANIMALS!Q3</f>
        <v/>
      </c>
      <c r="J7" s="9">
        <f>ANIMALS!R3</f>
        <v/>
      </c>
      <c r="K7" s="27">
        <f>IF($A7="","",AVERAGEIFS(PERFORMANCE!$F$2:$F$1000,PERFORMANCE!$C$2:$C$1000,$A7,PERFORMANCE!$E$2:$E$1000,"FAMACHA",PERFORMANCE!$B$2:$B$1000,$B$3))</f>
        <v/>
      </c>
      <c r="L7" s="7">
        <f>IF($A7="","",AVERAGEIFS(PERFORMANCE!$F$2:$F$1000,PERFORMANCE!$C$2:$C$1000,$A7,PERFORMANCE!$E$2:$E$1000,"FEC",PERFORMANCE!$B$2:$B$1000,$B$3))</f>
        <v/>
      </c>
      <c r="M7" s="7">
        <f>IF($A7="","",COUNTIFS(PERFORMANCE!$C$2:$C$1000,$A7,PERFORMANCE!$E$2:$E$1000,"DEWORM",PERFORMANCE!$B$2:$B$1000,$B$3))</f>
        <v/>
      </c>
      <c r="N7" s="29">
        <f>IF($A7="","",AVERAGEIFS(REPRODUCTION!$E$2:$E$1000,REPRODUCTION!$B$2:$B$1000,$A7,REPRODUCTION!$A$2:$A$1000,$B$3))</f>
        <v/>
      </c>
      <c r="O7" s="27">
        <f>IF($A7="","",AVERAGEIFS(PERFORMANCE!$F$2:$F$1000,PERFORMANCE!$C$2:$C$1000,$A7,PERFORMANCE!$E$2:$E$1000,"WEAN_WT",PERFORMANCE!$B$2:$B$1000,$B$3))</f>
        <v/>
      </c>
      <c r="P7" s="25">
        <f>IF($A7="","",AVERAGEIFS(PERFORMANCE!$F$2:$F$1000,PERFORMANCE!$C$2:$C$1000,$A7,PERFORMANCE!$E$2:$E$1000,"ADG",PERFORMANCE!$B$2:$B$1000,$B$3))</f>
        <v/>
      </c>
      <c r="Q7" s="27">
        <f>IF($A7="","",AVERAGEIFS(PERFORMANCE!$F$2:$F$1000,PERFORMANCE!$C$2:$C$1000,$A7,PERFORMANCE!$E$2:$E$1000,"SHEDDING",PERFORMANCE!$B$2:$B$1000,$B$3))</f>
        <v/>
      </c>
      <c r="R7" s="25">
        <f>IF($K7="","",IF(VLOOKUP($E7,PEN_STATS!$A$2:$V$10,4,FALSE)=0,0,-($K7-VLOOKUP($E7,PEN_STATS!$A$2:$V$10,3,FALSE))/VLOOKUP($E7,PEN_STATS!$A$2:$V$10,4,FALSE)))</f>
        <v/>
      </c>
      <c r="S7" s="25">
        <f>IF($L7="","",IF(VLOOKUP($E7,PEN_STATS!$A$2:$V$10,7,FALSE)=0,0,-($L7-VLOOKUP($E7,PEN_STATS!$A$2:$V$10,6,FALSE))/VLOOKUP($E7,PEN_STATS!$A$2:$V$10,7,FALSE)))</f>
        <v/>
      </c>
      <c r="T7" s="25">
        <f>IF($M7="","",IF(VLOOKUP($E7,PEN_STATS!$A$2:$V$10,10,FALSE)=0,0,-($M7-VLOOKUP($E7,PEN_STATS!$A$2:$V$10,9,FALSE))/VLOOKUP($E7,PEN_STATS!$A$2:$V$10,10,FALSE)))</f>
        <v/>
      </c>
      <c r="U7" s="25">
        <f>IF($N7="","",IF(VLOOKUP($E7,PEN_STATS!$A$2:$V$10,13,FALSE)=0,0,($N7-VLOOKUP($E7,PEN_STATS!$A$2:$V$10,12,FALSE))/VLOOKUP($E7,PEN_STATS!$A$2:$V$10,13,FALSE)))</f>
        <v/>
      </c>
      <c r="V7" s="25">
        <f>IF($O7="","",IF(VLOOKUP($E7,PEN_STATS!$A$2:$V$10,16,FALSE)=0,0,($O7-VLOOKUP($E7,PEN_STATS!$A$2:$V$10,15,FALSE))/VLOOKUP($E7,PEN_STATS!$A$2:$V$10,16,FALSE)))</f>
        <v/>
      </c>
      <c r="W7" s="25">
        <f>IF($P7="","",IF(VLOOKUP($E7,PEN_STATS!$A$2:$V$10,19,FALSE)=0,0,($P7-VLOOKUP($E7,PEN_STATS!$A$2:$V$10,18,FALSE))/VLOOKUP($E7,PEN_STATS!$A$2:$V$10,19,FALSE)))</f>
        <v/>
      </c>
      <c r="X7" s="25">
        <f>IF($Q7="","",IF(VLOOKUP($E7,PEN_STATS!$A$2:$V$10,22,FALSE)=0,0,($Q7-VLOOKUP($E7,PEN_STATS!$A$2:$V$10,21,FALSE))/VLOOKUP($E7,PEN_STATS!$A$2:$V$10,22,FALSE)))</f>
        <v/>
      </c>
      <c r="Y7" s="25">
        <f>IF($A7="","",'WEIGHTS_&amp;_RULES'!$B$12*$R7+'WEIGHTS_&amp;_RULES'!$B$13*$S7+'WEIGHTS_&amp;_RULES'!$B$14*$T7+'WEIGHTS_&amp;_RULES'!$B$15*$U7)</f>
        <v/>
      </c>
      <c r="Z7" s="25">
        <f>IF($A7="","",'WEIGHTS_&amp;_RULES'!$B$19*$V7+'WEIGHTS_&amp;_RULES'!$B$20*$W7)</f>
        <v/>
      </c>
      <c r="AA7" s="25">
        <f>IF($A7="","",'WEIGHTS_&amp;_RULES'!$B$24*$X7)</f>
        <v/>
      </c>
      <c r="AB7" s="25">
        <f>IF($A7="","",'WEIGHTS_&amp;_RULES'!$B$7*$Y7+'WEIGHTS_&amp;_RULES'!$B$8*$Z7+'WEIGHTS_&amp;_RULES'!$B$9*$AA7)</f>
        <v/>
      </c>
    </row>
    <row r="8">
      <c r="A8" s="9">
        <f>ANIMALS!A4</f>
        <v/>
      </c>
      <c r="B8" s="9">
        <f>ANIMALS!B4</f>
        <v/>
      </c>
      <c r="C8" s="9">
        <f>ANIMALS!D4</f>
        <v/>
      </c>
      <c r="D8" s="9">
        <f>ANIMALS!G4</f>
        <v/>
      </c>
      <c r="E8" s="9">
        <f>ANIMALS!H4</f>
        <v/>
      </c>
      <c r="F8" s="9">
        <f>ANIMALS!I4</f>
        <v/>
      </c>
      <c r="G8" s="9">
        <f>ANIMALS!O4</f>
        <v/>
      </c>
      <c r="H8" s="9">
        <f>ANIMALS!P4</f>
        <v/>
      </c>
      <c r="I8" s="9">
        <f>ANIMALS!Q4</f>
        <v/>
      </c>
      <c r="J8" s="9">
        <f>ANIMALS!R4</f>
        <v/>
      </c>
      <c r="K8" s="27">
        <f>IF($A8="","",AVERAGEIFS(PERFORMANCE!$F$2:$F$1000,PERFORMANCE!$C$2:$C$1000,$A8,PERFORMANCE!$E$2:$E$1000,"FAMACHA",PERFORMANCE!$B$2:$B$1000,$B$3))</f>
        <v/>
      </c>
      <c r="L8" s="7">
        <f>IF($A8="","",AVERAGEIFS(PERFORMANCE!$F$2:$F$1000,PERFORMANCE!$C$2:$C$1000,$A8,PERFORMANCE!$E$2:$E$1000,"FEC",PERFORMANCE!$B$2:$B$1000,$B$3))</f>
        <v/>
      </c>
      <c r="M8" s="7">
        <f>IF($A8="","",COUNTIFS(PERFORMANCE!$C$2:$C$1000,$A8,PERFORMANCE!$E$2:$E$1000,"DEWORM",PERFORMANCE!$B$2:$B$1000,$B$3))</f>
        <v/>
      </c>
      <c r="N8" s="29">
        <f>IF($A8="","",AVERAGEIFS(REPRODUCTION!$E$2:$E$1000,REPRODUCTION!$B$2:$B$1000,$A8,REPRODUCTION!$A$2:$A$1000,$B$3))</f>
        <v/>
      </c>
      <c r="O8" s="27">
        <f>IF($A8="","",AVERAGEIFS(PERFORMANCE!$F$2:$F$1000,PERFORMANCE!$C$2:$C$1000,$A8,PERFORMANCE!$E$2:$E$1000,"WEAN_WT",PERFORMANCE!$B$2:$B$1000,$B$3))</f>
        <v/>
      </c>
      <c r="P8" s="25">
        <f>IF($A8="","",AVERAGEIFS(PERFORMANCE!$F$2:$F$1000,PERFORMANCE!$C$2:$C$1000,$A8,PERFORMANCE!$E$2:$E$1000,"ADG",PERFORMANCE!$B$2:$B$1000,$B$3))</f>
        <v/>
      </c>
      <c r="Q8" s="27">
        <f>IF($A8="","",AVERAGEIFS(PERFORMANCE!$F$2:$F$1000,PERFORMANCE!$C$2:$C$1000,$A8,PERFORMANCE!$E$2:$E$1000,"SHEDDING",PERFORMANCE!$B$2:$B$1000,$B$3))</f>
        <v/>
      </c>
      <c r="R8" s="25">
        <f>IF($K8="","",IF(VLOOKUP($E8,PEN_STATS!$A$2:$V$10,4,FALSE)=0,0,-($K8-VLOOKUP($E8,PEN_STATS!$A$2:$V$10,3,FALSE))/VLOOKUP($E8,PEN_STATS!$A$2:$V$10,4,FALSE)))</f>
        <v/>
      </c>
      <c r="S8" s="25">
        <f>IF($L8="","",IF(VLOOKUP($E8,PEN_STATS!$A$2:$V$10,7,FALSE)=0,0,-($L8-VLOOKUP($E8,PEN_STATS!$A$2:$V$10,6,FALSE))/VLOOKUP($E8,PEN_STATS!$A$2:$V$10,7,FALSE)))</f>
        <v/>
      </c>
      <c r="T8" s="25">
        <f>IF($M8="","",IF(VLOOKUP($E8,PEN_STATS!$A$2:$V$10,10,FALSE)=0,0,-($M8-VLOOKUP($E8,PEN_STATS!$A$2:$V$10,9,FALSE))/VLOOKUP($E8,PEN_STATS!$A$2:$V$10,10,FALSE)))</f>
        <v/>
      </c>
      <c r="U8" s="25">
        <f>IF($N8="","",IF(VLOOKUP($E8,PEN_STATS!$A$2:$V$10,13,FALSE)=0,0,($N8-VLOOKUP($E8,PEN_STATS!$A$2:$V$10,12,FALSE))/VLOOKUP($E8,PEN_STATS!$A$2:$V$10,13,FALSE)))</f>
        <v/>
      </c>
      <c r="V8" s="25">
        <f>IF($O8="","",IF(VLOOKUP($E8,PEN_STATS!$A$2:$V$10,16,FALSE)=0,0,($O8-VLOOKUP($E8,PEN_STATS!$A$2:$V$10,15,FALSE))/VLOOKUP($E8,PEN_STATS!$A$2:$V$10,16,FALSE)))</f>
        <v/>
      </c>
      <c r="W8" s="25">
        <f>IF($P8="","",IF(VLOOKUP($E8,PEN_STATS!$A$2:$V$10,19,FALSE)=0,0,($P8-VLOOKUP($E8,PEN_STATS!$A$2:$V$10,18,FALSE))/VLOOKUP($E8,PEN_STATS!$A$2:$V$10,19,FALSE)))</f>
        <v/>
      </c>
      <c r="X8" s="25">
        <f>IF($Q8="","",IF(VLOOKUP($E8,PEN_STATS!$A$2:$V$10,22,FALSE)=0,0,($Q8-VLOOKUP($E8,PEN_STATS!$A$2:$V$10,21,FALSE))/VLOOKUP($E8,PEN_STATS!$A$2:$V$10,22,FALSE)))</f>
        <v/>
      </c>
      <c r="Y8" s="25">
        <f>IF($A8="","",'WEIGHTS_&amp;_RULES'!$B$12*$R8+'WEIGHTS_&amp;_RULES'!$B$13*$S8+'WEIGHTS_&amp;_RULES'!$B$14*$T8+'WEIGHTS_&amp;_RULES'!$B$15*$U8)</f>
        <v/>
      </c>
      <c r="Z8" s="25">
        <f>IF($A8="","",'WEIGHTS_&amp;_RULES'!$B$19*$V8+'WEIGHTS_&amp;_RULES'!$B$20*$W8)</f>
        <v/>
      </c>
      <c r="AA8" s="25">
        <f>IF($A8="","",'WEIGHTS_&amp;_RULES'!$B$24*$X8)</f>
        <v/>
      </c>
      <c r="AB8" s="25">
        <f>IF($A8="","",'WEIGHTS_&amp;_RULES'!$B$7*$Y8+'WEIGHTS_&amp;_RULES'!$B$8*$Z8+'WEIGHTS_&amp;_RULES'!$B$9*$AA8)</f>
        <v/>
      </c>
    </row>
    <row r="9">
      <c r="A9" s="9">
        <f>ANIMALS!A5</f>
        <v/>
      </c>
      <c r="B9" s="9">
        <f>ANIMALS!B5</f>
        <v/>
      </c>
      <c r="C9" s="9">
        <f>ANIMALS!D5</f>
        <v/>
      </c>
      <c r="D9" s="9">
        <f>ANIMALS!G5</f>
        <v/>
      </c>
      <c r="E9" s="9">
        <f>ANIMALS!H5</f>
        <v/>
      </c>
      <c r="F9" s="9">
        <f>ANIMALS!I5</f>
        <v/>
      </c>
      <c r="G9" s="9">
        <f>ANIMALS!O5</f>
        <v/>
      </c>
      <c r="H9" s="9">
        <f>ANIMALS!P5</f>
        <v/>
      </c>
      <c r="I9" s="9">
        <f>ANIMALS!Q5</f>
        <v/>
      </c>
      <c r="J9" s="9">
        <f>ANIMALS!R5</f>
        <v/>
      </c>
      <c r="K9" s="27">
        <f>IF($A9="","",AVERAGEIFS(PERFORMANCE!$F$2:$F$1000,PERFORMANCE!$C$2:$C$1000,$A9,PERFORMANCE!$E$2:$E$1000,"FAMACHA",PERFORMANCE!$B$2:$B$1000,$B$3))</f>
        <v/>
      </c>
      <c r="L9" s="7">
        <f>IF($A9="","",AVERAGEIFS(PERFORMANCE!$F$2:$F$1000,PERFORMANCE!$C$2:$C$1000,$A9,PERFORMANCE!$E$2:$E$1000,"FEC",PERFORMANCE!$B$2:$B$1000,$B$3))</f>
        <v/>
      </c>
      <c r="M9" s="7">
        <f>IF($A9="","",COUNTIFS(PERFORMANCE!$C$2:$C$1000,$A9,PERFORMANCE!$E$2:$E$1000,"DEWORM",PERFORMANCE!$B$2:$B$1000,$B$3))</f>
        <v/>
      </c>
      <c r="N9" s="29">
        <f>IF($A9="","",AVERAGEIFS(REPRODUCTION!$E$2:$E$1000,REPRODUCTION!$B$2:$B$1000,$A9,REPRODUCTION!$A$2:$A$1000,$B$3))</f>
        <v/>
      </c>
      <c r="O9" s="27">
        <f>IF($A9="","",AVERAGEIFS(PERFORMANCE!$F$2:$F$1000,PERFORMANCE!$C$2:$C$1000,$A9,PERFORMANCE!$E$2:$E$1000,"WEAN_WT",PERFORMANCE!$B$2:$B$1000,$B$3))</f>
        <v/>
      </c>
      <c r="P9" s="25">
        <f>IF($A9="","",AVERAGEIFS(PERFORMANCE!$F$2:$F$1000,PERFORMANCE!$C$2:$C$1000,$A9,PERFORMANCE!$E$2:$E$1000,"ADG",PERFORMANCE!$B$2:$B$1000,$B$3))</f>
        <v/>
      </c>
      <c r="Q9" s="27">
        <f>IF($A9="","",AVERAGEIFS(PERFORMANCE!$F$2:$F$1000,PERFORMANCE!$C$2:$C$1000,$A9,PERFORMANCE!$E$2:$E$1000,"SHEDDING",PERFORMANCE!$B$2:$B$1000,$B$3))</f>
        <v/>
      </c>
      <c r="R9" s="25">
        <f>IF($K9="","",IF(VLOOKUP($E9,PEN_STATS!$A$2:$V$10,4,FALSE)=0,0,-($K9-VLOOKUP($E9,PEN_STATS!$A$2:$V$10,3,FALSE))/VLOOKUP($E9,PEN_STATS!$A$2:$V$10,4,FALSE)))</f>
        <v/>
      </c>
      <c r="S9" s="25">
        <f>IF($L9="","",IF(VLOOKUP($E9,PEN_STATS!$A$2:$V$10,7,FALSE)=0,0,-($L9-VLOOKUP($E9,PEN_STATS!$A$2:$V$10,6,FALSE))/VLOOKUP($E9,PEN_STATS!$A$2:$V$10,7,FALSE)))</f>
        <v/>
      </c>
      <c r="T9" s="25">
        <f>IF($M9="","",IF(VLOOKUP($E9,PEN_STATS!$A$2:$V$10,10,FALSE)=0,0,-($M9-VLOOKUP($E9,PEN_STATS!$A$2:$V$10,9,FALSE))/VLOOKUP($E9,PEN_STATS!$A$2:$V$10,10,FALSE)))</f>
        <v/>
      </c>
      <c r="U9" s="25">
        <f>IF($N9="","",IF(VLOOKUP($E9,PEN_STATS!$A$2:$V$10,13,FALSE)=0,0,($N9-VLOOKUP($E9,PEN_STATS!$A$2:$V$10,12,FALSE))/VLOOKUP($E9,PEN_STATS!$A$2:$V$10,13,FALSE)))</f>
        <v/>
      </c>
      <c r="V9" s="25">
        <f>IF($O9="","",IF(VLOOKUP($E9,PEN_STATS!$A$2:$V$10,16,FALSE)=0,0,($O9-VLOOKUP($E9,PEN_STATS!$A$2:$V$10,15,FALSE))/VLOOKUP($E9,PEN_STATS!$A$2:$V$10,16,FALSE)))</f>
        <v/>
      </c>
      <c r="W9" s="25">
        <f>IF($P9="","",IF(VLOOKUP($E9,PEN_STATS!$A$2:$V$10,19,FALSE)=0,0,($P9-VLOOKUP($E9,PEN_STATS!$A$2:$V$10,18,FALSE))/VLOOKUP($E9,PEN_STATS!$A$2:$V$10,19,FALSE)))</f>
        <v/>
      </c>
      <c r="X9" s="25">
        <f>IF($Q9="","",IF(VLOOKUP($E9,PEN_STATS!$A$2:$V$10,22,FALSE)=0,0,($Q9-VLOOKUP($E9,PEN_STATS!$A$2:$V$10,21,FALSE))/VLOOKUP($E9,PEN_STATS!$A$2:$V$10,22,FALSE)))</f>
        <v/>
      </c>
      <c r="Y9" s="25">
        <f>IF($A9="","",'WEIGHTS_&amp;_RULES'!$B$12*$R9+'WEIGHTS_&amp;_RULES'!$B$13*$S9+'WEIGHTS_&amp;_RULES'!$B$14*$T9+'WEIGHTS_&amp;_RULES'!$B$15*$U9)</f>
        <v/>
      </c>
      <c r="Z9" s="25">
        <f>IF($A9="","",'WEIGHTS_&amp;_RULES'!$B$19*$V9+'WEIGHTS_&amp;_RULES'!$B$20*$W9)</f>
        <v/>
      </c>
      <c r="AA9" s="25">
        <f>IF($A9="","",'WEIGHTS_&amp;_RULES'!$B$24*$X9)</f>
        <v/>
      </c>
      <c r="AB9" s="25">
        <f>IF($A9="","",'WEIGHTS_&amp;_RULES'!$B$7*$Y9+'WEIGHTS_&amp;_RULES'!$B$8*$Z9+'WEIGHTS_&amp;_RULES'!$B$9*$AA9)</f>
        <v/>
      </c>
    </row>
    <row r="10">
      <c r="A10" s="9">
        <f>ANIMALS!A6</f>
        <v/>
      </c>
      <c r="B10" s="9">
        <f>ANIMALS!B6</f>
        <v/>
      </c>
      <c r="C10" s="9">
        <f>ANIMALS!D6</f>
        <v/>
      </c>
      <c r="D10" s="9">
        <f>ANIMALS!G6</f>
        <v/>
      </c>
      <c r="E10" s="9">
        <f>ANIMALS!H6</f>
        <v/>
      </c>
      <c r="F10" s="9">
        <f>ANIMALS!I6</f>
        <v/>
      </c>
      <c r="G10" s="9">
        <f>ANIMALS!O6</f>
        <v/>
      </c>
      <c r="H10" s="9">
        <f>ANIMALS!P6</f>
        <v/>
      </c>
      <c r="I10" s="9">
        <f>ANIMALS!Q6</f>
        <v/>
      </c>
      <c r="J10" s="9">
        <f>ANIMALS!R6</f>
        <v/>
      </c>
      <c r="K10" s="27">
        <f>IF($A10="","",AVERAGEIFS(PERFORMANCE!$F$2:$F$1000,PERFORMANCE!$C$2:$C$1000,$A10,PERFORMANCE!$E$2:$E$1000,"FAMACHA",PERFORMANCE!$B$2:$B$1000,$B$3))</f>
        <v/>
      </c>
      <c r="L10" s="7">
        <f>IF($A10="","",AVERAGEIFS(PERFORMANCE!$F$2:$F$1000,PERFORMANCE!$C$2:$C$1000,$A10,PERFORMANCE!$E$2:$E$1000,"FEC",PERFORMANCE!$B$2:$B$1000,$B$3))</f>
        <v/>
      </c>
      <c r="M10" s="7">
        <f>IF($A10="","",COUNTIFS(PERFORMANCE!$C$2:$C$1000,$A10,PERFORMANCE!$E$2:$E$1000,"DEWORM",PERFORMANCE!$B$2:$B$1000,$B$3))</f>
        <v/>
      </c>
      <c r="N10" s="29">
        <f>IF($A10="","",AVERAGEIFS(REPRODUCTION!$E$2:$E$1000,REPRODUCTION!$B$2:$B$1000,$A10,REPRODUCTION!$A$2:$A$1000,$B$3))</f>
        <v/>
      </c>
      <c r="O10" s="27">
        <f>IF($A10="","",AVERAGEIFS(PERFORMANCE!$F$2:$F$1000,PERFORMANCE!$C$2:$C$1000,$A10,PERFORMANCE!$E$2:$E$1000,"WEAN_WT",PERFORMANCE!$B$2:$B$1000,$B$3))</f>
        <v/>
      </c>
      <c r="P10" s="25">
        <f>IF($A10="","",AVERAGEIFS(PERFORMANCE!$F$2:$F$1000,PERFORMANCE!$C$2:$C$1000,$A10,PERFORMANCE!$E$2:$E$1000,"ADG",PERFORMANCE!$B$2:$B$1000,$B$3))</f>
        <v/>
      </c>
      <c r="Q10" s="27">
        <f>IF($A10="","",AVERAGEIFS(PERFORMANCE!$F$2:$F$1000,PERFORMANCE!$C$2:$C$1000,$A10,PERFORMANCE!$E$2:$E$1000,"SHEDDING",PERFORMANCE!$B$2:$B$1000,$B$3))</f>
        <v/>
      </c>
      <c r="R10" s="25">
        <f>IF($K10="","",IF(VLOOKUP($E10,PEN_STATS!$A$2:$V$10,4,FALSE)=0,0,-($K10-VLOOKUP($E10,PEN_STATS!$A$2:$V$10,3,FALSE))/VLOOKUP($E10,PEN_STATS!$A$2:$V$10,4,FALSE)))</f>
        <v/>
      </c>
      <c r="S10" s="25">
        <f>IF($L10="","",IF(VLOOKUP($E10,PEN_STATS!$A$2:$V$10,7,FALSE)=0,0,-($L10-VLOOKUP($E10,PEN_STATS!$A$2:$V$10,6,FALSE))/VLOOKUP($E10,PEN_STATS!$A$2:$V$10,7,FALSE)))</f>
        <v/>
      </c>
      <c r="T10" s="25">
        <f>IF($M10="","",IF(VLOOKUP($E10,PEN_STATS!$A$2:$V$10,10,FALSE)=0,0,-($M10-VLOOKUP($E10,PEN_STATS!$A$2:$V$10,9,FALSE))/VLOOKUP($E10,PEN_STATS!$A$2:$V$10,10,FALSE)))</f>
        <v/>
      </c>
      <c r="U10" s="25">
        <f>IF($N10="","",IF(VLOOKUP($E10,PEN_STATS!$A$2:$V$10,13,FALSE)=0,0,($N10-VLOOKUP($E10,PEN_STATS!$A$2:$V$10,12,FALSE))/VLOOKUP($E10,PEN_STATS!$A$2:$V$10,13,FALSE)))</f>
        <v/>
      </c>
      <c r="V10" s="25">
        <f>IF($O10="","",IF(VLOOKUP($E10,PEN_STATS!$A$2:$V$10,16,FALSE)=0,0,($O10-VLOOKUP($E10,PEN_STATS!$A$2:$V$10,15,FALSE))/VLOOKUP($E10,PEN_STATS!$A$2:$V$10,16,FALSE)))</f>
        <v/>
      </c>
      <c r="W10" s="25">
        <f>IF($P10="","",IF(VLOOKUP($E10,PEN_STATS!$A$2:$V$10,19,FALSE)=0,0,($P10-VLOOKUP($E10,PEN_STATS!$A$2:$V$10,18,FALSE))/VLOOKUP($E10,PEN_STATS!$A$2:$V$10,19,FALSE)))</f>
        <v/>
      </c>
      <c r="X10" s="25">
        <f>IF($Q10="","",IF(VLOOKUP($E10,PEN_STATS!$A$2:$V$10,22,FALSE)=0,0,($Q10-VLOOKUP($E10,PEN_STATS!$A$2:$V$10,21,FALSE))/VLOOKUP($E10,PEN_STATS!$A$2:$V$10,22,FALSE)))</f>
        <v/>
      </c>
      <c r="Y10" s="25">
        <f>IF($A10="","",'WEIGHTS_&amp;_RULES'!$B$12*$R10+'WEIGHTS_&amp;_RULES'!$B$13*$S10+'WEIGHTS_&amp;_RULES'!$B$14*$T10+'WEIGHTS_&amp;_RULES'!$B$15*$U10)</f>
        <v/>
      </c>
      <c r="Z10" s="25">
        <f>IF($A10="","",'WEIGHTS_&amp;_RULES'!$B$19*$V10+'WEIGHTS_&amp;_RULES'!$B$20*$W10)</f>
        <v/>
      </c>
      <c r="AA10" s="25">
        <f>IF($A10="","",'WEIGHTS_&amp;_RULES'!$B$24*$X10)</f>
        <v/>
      </c>
      <c r="AB10" s="25">
        <f>IF($A10="","",'WEIGHTS_&amp;_RULES'!$B$7*$Y10+'WEIGHTS_&amp;_RULES'!$B$8*$Z10+'WEIGHTS_&amp;_RULES'!$B$9*$AA10)</f>
        <v/>
      </c>
    </row>
    <row r="11">
      <c r="A11" s="9">
        <f>ANIMALS!A7</f>
        <v/>
      </c>
      <c r="B11" s="9">
        <f>ANIMALS!B7</f>
        <v/>
      </c>
      <c r="C11" s="9">
        <f>ANIMALS!D7</f>
        <v/>
      </c>
      <c r="D11" s="9">
        <f>ANIMALS!G7</f>
        <v/>
      </c>
      <c r="E11" s="9">
        <f>ANIMALS!H7</f>
        <v/>
      </c>
      <c r="F11" s="9">
        <f>ANIMALS!I7</f>
        <v/>
      </c>
      <c r="G11" s="9">
        <f>ANIMALS!O7</f>
        <v/>
      </c>
      <c r="H11" s="9">
        <f>ANIMALS!P7</f>
        <v/>
      </c>
      <c r="I11" s="9">
        <f>ANIMALS!Q7</f>
        <v/>
      </c>
      <c r="J11" s="9">
        <f>ANIMALS!R7</f>
        <v/>
      </c>
      <c r="K11" s="27">
        <f>IF($A11="","",AVERAGEIFS(PERFORMANCE!$F$2:$F$1000,PERFORMANCE!$C$2:$C$1000,$A11,PERFORMANCE!$E$2:$E$1000,"FAMACHA",PERFORMANCE!$B$2:$B$1000,$B$3))</f>
        <v/>
      </c>
      <c r="L11" s="7">
        <f>IF($A11="","",AVERAGEIFS(PERFORMANCE!$F$2:$F$1000,PERFORMANCE!$C$2:$C$1000,$A11,PERFORMANCE!$E$2:$E$1000,"FEC",PERFORMANCE!$B$2:$B$1000,$B$3))</f>
        <v/>
      </c>
      <c r="M11" s="7">
        <f>IF($A11="","",COUNTIFS(PERFORMANCE!$C$2:$C$1000,$A11,PERFORMANCE!$E$2:$E$1000,"DEWORM",PERFORMANCE!$B$2:$B$1000,$B$3))</f>
        <v/>
      </c>
      <c r="N11" s="29">
        <f>IF($A11="","",AVERAGEIFS(REPRODUCTION!$E$2:$E$1000,REPRODUCTION!$B$2:$B$1000,$A11,REPRODUCTION!$A$2:$A$1000,$B$3))</f>
        <v/>
      </c>
      <c r="O11" s="27">
        <f>IF($A11="","",AVERAGEIFS(PERFORMANCE!$F$2:$F$1000,PERFORMANCE!$C$2:$C$1000,$A11,PERFORMANCE!$E$2:$E$1000,"WEAN_WT",PERFORMANCE!$B$2:$B$1000,$B$3))</f>
        <v/>
      </c>
      <c r="P11" s="25">
        <f>IF($A11="","",AVERAGEIFS(PERFORMANCE!$F$2:$F$1000,PERFORMANCE!$C$2:$C$1000,$A11,PERFORMANCE!$E$2:$E$1000,"ADG",PERFORMANCE!$B$2:$B$1000,$B$3))</f>
        <v/>
      </c>
      <c r="Q11" s="27">
        <f>IF($A11="","",AVERAGEIFS(PERFORMANCE!$F$2:$F$1000,PERFORMANCE!$C$2:$C$1000,$A11,PERFORMANCE!$E$2:$E$1000,"SHEDDING",PERFORMANCE!$B$2:$B$1000,$B$3))</f>
        <v/>
      </c>
      <c r="R11" s="25">
        <f>IF($K11="","",IF(VLOOKUP($E11,PEN_STATS!$A$2:$V$10,4,FALSE)=0,0,-($K11-VLOOKUP($E11,PEN_STATS!$A$2:$V$10,3,FALSE))/VLOOKUP($E11,PEN_STATS!$A$2:$V$10,4,FALSE)))</f>
        <v/>
      </c>
      <c r="S11" s="25">
        <f>IF($L11="","",IF(VLOOKUP($E11,PEN_STATS!$A$2:$V$10,7,FALSE)=0,0,-($L11-VLOOKUP($E11,PEN_STATS!$A$2:$V$10,6,FALSE))/VLOOKUP($E11,PEN_STATS!$A$2:$V$10,7,FALSE)))</f>
        <v/>
      </c>
      <c r="T11" s="25">
        <f>IF($M11="","",IF(VLOOKUP($E11,PEN_STATS!$A$2:$V$10,10,FALSE)=0,0,-($M11-VLOOKUP($E11,PEN_STATS!$A$2:$V$10,9,FALSE))/VLOOKUP($E11,PEN_STATS!$A$2:$V$10,10,FALSE)))</f>
        <v/>
      </c>
      <c r="U11" s="25">
        <f>IF($N11="","",IF(VLOOKUP($E11,PEN_STATS!$A$2:$V$10,13,FALSE)=0,0,($N11-VLOOKUP($E11,PEN_STATS!$A$2:$V$10,12,FALSE))/VLOOKUP($E11,PEN_STATS!$A$2:$V$10,13,FALSE)))</f>
        <v/>
      </c>
      <c r="V11" s="25">
        <f>IF($O11="","",IF(VLOOKUP($E11,PEN_STATS!$A$2:$V$10,16,FALSE)=0,0,($O11-VLOOKUP($E11,PEN_STATS!$A$2:$V$10,15,FALSE))/VLOOKUP($E11,PEN_STATS!$A$2:$V$10,16,FALSE)))</f>
        <v/>
      </c>
      <c r="W11" s="25">
        <f>IF($P11="","",IF(VLOOKUP($E11,PEN_STATS!$A$2:$V$10,19,FALSE)=0,0,($P11-VLOOKUP($E11,PEN_STATS!$A$2:$V$10,18,FALSE))/VLOOKUP($E11,PEN_STATS!$A$2:$V$10,19,FALSE)))</f>
        <v/>
      </c>
      <c r="X11" s="25">
        <f>IF($Q11="","",IF(VLOOKUP($E11,PEN_STATS!$A$2:$V$10,22,FALSE)=0,0,($Q11-VLOOKUP($E11,PEN_STATS!$A$2:$V$10,21,FALSE))/VLOOKUP($E11,PEN_STATS!$A$2:$V$10,22,FALSE)))</f>
        <v/>
      </c>
      <c r="Y11" s="25">
        <f>IF($A11="","",'WEIGHTS_&amp;_RULES'!$B$12*$R11+'WEIGHTS_&amp;_RULES'!$B$13*$S11+'WEIGHTS_&amp;_RULES'!$B$14*$T11+'WEIGHTS_&amp;_RULES'!$B$15*$U11)</f>
        <v/>
      </c>
      <c r="Z11" s="25">
        <f>IF($A11="","",'WEIGHTS_&amp;_RULES'!$B$19*$V11+'WEIGHTS_&amp;_RULES'!$B$20*$W11)</f>
        <v/>
      </c>
      <c r="AA11" s="25">
        <f>IF($A11="","",'WEIGHTS_&amp;_RULES'!$B$24*$X11)</f>
        <v/>
      </c>
      <c r="AB11" s="25">
        <f>IF($A11="","",'WEIGHTS_&amp;_RULES'!$B$7*$Y11+'WEIGHTS_&amp;_RULES'!$B$8*$Z11+'WEIGHTS_&amp;_RULES'!$B$9*$AA11)</f>
        <v/>
      </c>
    </row>
    <row r="12">
      <c r="A12" s="9">
        <f>ANIMALS!A8</f>
        <v/>
      </c>
      <c r="B12" s="9">
        <f>ANIMALS!B8</f>
        <v/>
      </c>
      <c r="C12" s="9">
        <f>ANIMALS!D8</f>
        <v/>
      </c>
      <c r="D12" s="9">
        <f>ANIMALS!G8</f>
        <v/>
      </c>
      <c r="E12" s="9">
        <f>ANIMALS!H8</f>
        <v/>
      </c>
      <c r="F12" s="9">
        <f>ANIMALS!I8</f>
        <v/>
      </c>
      <c r="G12" s="9">
        <f>ANIMALS!O8</f>
        <v/>
      </c>
      <c r="H12" s="9">
        <f>ANIMALS!P8</f>
        <v/>
      </c>
      <c r="I12" s="9">
        <f>ANIMALS!Q8</f>
        <v/>
      </c>
      <c r="J12" s="9">
        <f>ANIMALS!R8</f>
        <v/>
      </c>
      <c r="K12" s="27">
        <f>IF($A12="","",AVERAGEIFS(PERFORMANCE!$F$2:$F$1000,PERFORMANCE!$C$2:$C$1000,$A12,PERFORMANCE!$E$2:$E$1000,"FAMACHA",PERFORMANCE!$B$2:$B$1000,$B$3))</f>
        <v/>
      </c>
      <c r="L12" s="7">
        <f>IF($A12="","",AVERAGEIFS(PERFORMANCE!$F$2:$F$1000,PERFORMANCE!$C$2:$C$1000,$A12,PERFORMANCE!$E$2:$E$1000,"FEC",PERFORMANCE!$B$2:$B$1000,$B$3))</f>
        <v/>
      </c>
      <c r="M12" s="7">
        <f>IF($A12="","",COUNTIFS(PERFORMANCE!$C$2:$C$1000,$A12,PERFORMANCE!$E$2:$E$1000,"DEWORM",PERFORMANCE!$B$2:$B$1000,$B$3))</f>
        <v/>
      </c>
      <c r="N12" s="29">
        <f>IF($A12="","",AVERAGEIFS(REPRODUCTION!$E$2:$E$1000,REPRODUCTION!$B$2:$B$1000,$A12,REPRODUCTION!$A$2:$A$1000,$B$3))</f>
        <v/>
      </c>
      <c r="O12" s="27">
        <f>IF($A12="","",AVERAGEIFS(PERFORMANCE!$F$2:$F$1000,PERFORMANCE!$C$2:$C$1000,$A12,PERFORMANCE!$E$2:$E$1000,"WEAN_WT",PERFORMANCE!$B$2:$B$1000,$B$3))</f>
        <v/>
      </c>
      <c r="P12" s="25">
        <f>IF($A12="","",AVERAGEIFS(PERFORMANCE!$F$2:$F$1000,PERFORMANCE!$C$2:$C$1000,$A12,PERFORMANCE!$E$2:$E$1000,"ADG",PERFORMANCE!$B$2:$B$1000,$B$3))</f>
        <v/>
      </c>
      <c r="Q12" s="27">
        <f>IF($A12="","",AVERAGEIFS(PERFORMANCE!$F$2:$F$1000,PERFORMANCE!$C$2:$C$1000,$A12,PERFORMANCE!$E$2:$E$1000,"SHEDDING",PERFORMANCE!$B$2:$B$1000,$B$3))</f>
        <v/>
      </c>
      <c r="R12" s="25">
        <f>IF($K12="","",IF(VLOOKUP($E12,PEN_STATS!$A$2:$V$10,4,FALSE)=0,0,-($K12-VLOOKUP($E12,PEN_STATS!$A$2:$V$10,3,FALSE))/VLOOKUP($E12,PEN_STATS!$A$2:$V$10,4,FALSE)))</f>
        <v/>
      </c>
      <c r="S12" s="25">
        <f>IF($L12="","",IF(VLOOKUP($E12,PEN_STATS!$A$2:$V$10,7,FALSE)=0,0,-($L12-VLOOKUP($E12,PEN_STATS!$A$2:$V$10,6,FALSE))/VLOOKUP($E12,PEN_STATS!$A$2:$V$10,7,FALSE)))</f>
        <v/>
      </c>
      <c r="T12" s="25">
        <f>IF($M12="","",IF(VLOOKUP($E12,PEN_STATS!$A$2:$V$10,10,FALSE)=0,0,-($M12-VLOOKUP($E12,PEN_STATS!$A$2:$V$10,9,FALSE))/VLOOKUP($E12,PEN_STATS!$A$2:$V$10,10,FALSE)))</f>
        <v/>
      </c>
      <c r="U12" s="25">
        <f>IF($N12="","",IF(VLOOKUP($E12,PEN_STATS!$A$2:$V$10,13,FALSE)=0,0,($N12-VLOOKUP($E12,PEN_STATS!$A$2:$V$10,12,FALSE))/VLOOKUP($E12,PEN_STATS!$A$2:$V$10,13,FALSE)))</f>
        <v/>
      </c>
      <c r="V12" s="25">
        <f>IF($O12="","",IF(VLOOKUP($E12,PEN_STATS!$A$2:$V$10,16,FALSE)=0,0,($O12-VLOOKUP($E12,PEN_STATS!$A$2:$V$10,15,FALSE))/VLOOKUP($E12,PEN_STATS!$A$2:$V$10,16,FALSE)))</f>
        <v/>
      </c>
      <c r="W12" s="25">
        <f>IF($P12="","",IF(VLOOKUP($E12,PEN_STATS!$A$2:$V$10,19,FALSE)=0,0,($P12-VLOOKUP($E12,PEN_STATS!$A$2:$V$10,18,FALSE))/VLOOKUP($E12,PEN_STATS!$A$2:$V$10,19,FALSE)))</f>
        <v/>
      </c>
      <c r="X12" s="25">
        <f>IF($Q12="","",IF(VLOOKUP($E12,PEN_STATS!$A$2:$V$10,22,FALSE)=0,0,($Q12-VLOOKUP($E12,PEN_STATS!$A$2:$V$10,21,FALSE))/VLOOKUP($E12,PEN_STATS!$A$2:$V$10,22,FALSE)))</f>
        <v/>
      </c>
      <c r="Y12" s="25">
        <f>IF($A12="","",'WEIGHTS_&amp;_RULES'!$B$12*$R12+'WEIGHTS_&amp;_RULES'!$B$13*$S12+'WEIGHTS_&amp;_RULES'!$B$14*$T12+'WEIGHTS_&amp;_RULES'!$B$15*$U12)</f>
        <v/>
      </c>
      <c r="Z12" s="25">
        <f>IF($A12="","",'WEIGHTS_&amp;_RULES'!$B$19*$V12+'WEIGHTS_&amp;_RULES'!$B$20*$W12)</f>
        <v/>
      </c>
      <c r="AA12" s="25">
        <f>IF($A12="","",'WEIGHTS_&amp;_RULES'!$B$24*$X12)</f>
        <v/>
      </c>
      <c r="AB12" s="25">
        <f>IF($A12="","",'WEIGHTS_&amp;_RULES'!$B$7*$Y12+'WEIGHTS_&amp;_RULES'!$B$8*$Z12+'WEIGHTS_&amp;_RULES'!$B$9*$AA12)</f>
        <v/>
      </c>
    </row>
    <row r="13">
      <c r="A13" s="9">
        <f>ANIMALS!A9</f>
        <v/>
      </c>
      <c r="B13" s="9">
        <f>ANIMALS!B9</f>
        <v/>
      </c>
      <c r="C13" s="9">
        <f>ANIMALS!D9</f>
        <v/>
      </c>
      <c r="D13" s="9">
        <f>ANIMALS!G9</f>
        <v/>
      </c>
      <c r="E13" s="9">
        <f>ANIMALS!H9</f>
        <v/>
      </c>
      <c r="F13" s="9">
        <f>ANIMALS!I9</f>
        <v/>
      </c>
      <c r="G13" s="9">
        <f>ANIMALS!O9</f>
        <v/>
      </c>
      <c r="H13" s="9">
        <f>ANIMALS!P9</f>
        <v/>
      </c>
      <c r="I13" s="9">
        <f>ANIMALS!Q9</f>
        <v/>
      </c>
      <c r="J13" s="9">
        <f>ANIMALS!R9</f>
        <v/>
      </c>
      <c r="K13" s="27">
        <f>IF($A13="","",AVERAGEIFS(PERFORMANCE!$F$2:$F$1000,PERFORMANCE!$C$2:$C$1000,$A13,PERFORMANCE!$E$2:$E$1000,"FAMACHA",PERFORMANCE!$B$2:$B$1000,$B$3))</f>
        <v/>
      </c>
      <c r="L13" s="7">
        <f>IF($A13="","",AVERAGEIFS(PERFORMANCE!$F$2:$F$1000,PERFORMANCE!$C$2:$C$1000,$A13,PERFORMANCE!$E$2:$E$1000,"FEC",PERFORMANCE!$B$2:$B$1000,$B$3))</f>
        <v/>
      </c>
      <c r="M13" s="7">
        <f>IF($A13="","",COUNTIFS(PERFORMANCE!$C$2:$C$1000,$A13,PERFORMANCE!$E$2:$E$1000,"DEWORM",PERFORMANCE!$B$2:$B$1000,$B$3))</f>
        <v/>
      </c>
      <c r="N13" s="29">
        <f>IF($A13="","",AVERAGEIFS(REPRODUCTION!$E$2:$E$1000,REPRODUCTION!$B$2:$B$1000,$A13,REPRODUCTION!$A$2:$A$1000,$B$3))</f>
        <v/>
      </c>
      <c r="O13" s="27">
        <f>IF($A13="","",AVERAGEIFS(PERFORMANCE!$F$2:$F$1000,PERFORMANCE!$C$2:$C$1000,$A13,PERFORMANCE!$E$2:$E$1000,"WEAN_WT",PERFORMANCE!$B$2:$B$1000,$B$3))</f>
        <v/>
      </c>
      <c r="P13" s="25">
        <f>IF($A13="","",AVERAGEIFS(PERFORMANCE!$F$2:$F$1000,PERFORMANCE!$C$2:$C$1000,$A13,PERFORMANCE!$E$2:$E$1000,"ADG",PERFORMANCE!$B$2:$B$1000,$B$3))</f>
        <v/>
      </c>
      <c r="Q13" s="27">
        <f>IF($A13="","",AVERAGEIFS(PERFORMANCE!$F$2:$F$1000,PERFORMANCE!$C$2:$C$1000,$A13,PERFORMANCE!$E$2:$E$1000,"SHEDDING",PERFORMANCE!$B$2:$B$1000,$B$3))</f>
        <v/>
      </c>
      <c r="R13" s="25">
        <f>IF($K13="","",IF(VLOOKUP($E13,PEN_STATS!$A$2:$V$10,4,FALSE)=0,0,-($K13-VLOOKUP($E13,PEN_STATS!$A$2:$V$10,3,FALSE))/VLOOKUP($E13,PEN_STATS!$A$2:$V$10,4,FALSE)))</f>
        <v/>
      </c>
      <c r="S13" s="25">
        <f>IF($L13="","",IF(VLOOKUP($E13,PEN_STATS!$A$2:$V$10,7,FALSE)=0,0,-($L13-VLOOKUP($E13,PEN_STATS!$A$2:$V$10,6,FALSE))/VLOOKUP($E13,PEN_STATS!$A$2:$V$10,7,FALSE)))</f>
        <v/>
      </c>
      <c r="T13" s="25">
        <f>IF($M13="","",IF(VLOOKUP($E13,PEN_STATS!$A$2:$V$10,10,FALSE)=0,0,-($M13-VLOOKUP($E13,PEN_STATS!$A$2:$V$10,9,FALSE))/VLOOKUP($E13,PEN_STATS!$A$2:$V$10,10,FALSE)))</f>
        <v/>
      </c>
      <c r="U13" s="25">
        <f>IF($N13="","",IF(VLOOKUP($E13,PEN_STATS!$A$2:$V$10,13,FALSE)=0,0,($N13-VLOOKUP($E13,PEN_STATS!$A$2:$V$10,12,FALSE))/VLOOKUP($E13,PEN_STATS!$A$2:$V$10,13,FALSE)))</f>
        <v/>
      </c>
      <c r="V13" s="25">
        <f>IF($O13="","",IF(VLOOKUP($E13,PEN_STATS!$A$2:$V$10,16,FALSE)=0,0,($O13-VLOOKUP($E13,PEN_STATS!$A$2:$V$10,15,FALSE))/VLOOKUP($E13,PEN_STATS!$A$2:$V$10,16,FALSE)))</f>
        <v/>
      </c>
      <c r="W13" s="25">
        <f>IF($P13="","",IF(VLOOKUP($E13,PEN_STATS!$A$2:$V$10,19,FALSE)=0,0,($P13-VLOOKUP($E13,PEN_STATS!$A$2:$V$10,18,FALSE))/VLOOKUP($E13,PEN_STATS!$A$2:$V$10,19,FALSE)))</f>
        <v/>
      </c>
      <c r="X13" s="25">
        <f>IF($Q13="","",IF(VLOOKUP($E13,PEN_STATS!$A$2:$V$10,22,FALSE)=0,0,($Q13-VLOOKUP($E13,PEN_STATS!$A$2:$V$10,21,FALSE))/VLOOKUP($E13,PEN_STATS!$A$2:$V$10,22,FALSE)))</f>
        <v/>
      </c>
      <c r="Y13" s="25">
        <f>IF($A13="","",'WEIGHTS_&amp;_RULES'!$B$12*$R13+'WEIGHTS_&amp;_RULES'!$B$13*$S13+'WEIGHTS_&amp;_RULES'!$B$14*$T13+'WEIGHTS_&amp;_RULES'!$B$15*$U13)</f>
        <v/>
      </c>
      <c r="Z13" s="25">
        <f>IF($A13="","",'WEIGHTS_&amp;_RULES'!$B$19*$V13+'WEIGHTS_&amp;_RULES'!$B$20*$W13)</f>
        <v/>
      </c>
      <c r="AA13" s="25">
        <f>IF($A13="","",'WEIGHTS_&amp;_RULES'!$B$24*$X13)</f>
        <v/>
      </c>
      <c r="AB13" s="25">
        <f>IF($A13="","",'WEIGHTS_&amp;_RULES'!$B$7*$Y13+'WEIGHTS_&amp;_RULES'!$B$8*$Z13+'WEIGHTS_&amp;_RULES'!$B$9*$AA13)</f>
        <v/>
      </c>
    </row>
    <row r="14">
      <c r="A14" s="9">
        <f>ANIMALS!A10</f>
        <v/>
      </c>
      <c r="B14" s="9">
        <f>ANIMALS!B10</f>
        <v/>
      </c>
      <c r="C14" s="9">
        <f>ANIMALS!D10</f>
        <v/>
      </c>
      <c r="D14" s="9">
        <f>ANIMALS!G10</f>
        <v/>
      </c>
      <c r="E14" s="9">
        <f>ANIMALS!H10</f>
        <v/>
      </c>
      <c r="F14" s="9">
        <f>ANIMALS!I10</f>
        <v/>
      </c>
      <c r="G14" s="9">
        <f>ANIMALS!O10</f>
        <v/>
      </c>
      <c r="H14" s="9">
        <f>ANIMALS!P10</f>
        <v/>
      </c>
      <c r="I14" s="9">
        <f>ANIMALS!Q10</f>
        <v/>
      </c>
      <c r="J14" s="9">
        <f>ANIMALS!R10</f>
        <v/>
      </c>
      <c r="K14" s="27">
        <f>IF($A14="","",AVERAGEIFS(PERFORMANCE!$F$2:$F$1000,PERFORMANCE!$C$2:$C$1000,$A14,PERFORMANCE!$E$2:$E$1000,"FAMACHA",PERFORMANCE!$B$2:$B$1000,$B$3))</f>
        <v/>
      </c>
      <c r="L14" s="7">
        <f>IF($A14="","",AVERAGEIFS(PERFORMANCE!$F$2:$F$1000,PERFORMANCE!$C$2:$C$1000,$A14,PERFORMANCE!$E$2:$E$1000,"FEC",PERFORMANCE!$B$2:$B$1000,$B$3))</f>
        <v/>
      </c>
      <c r="M14" s="7">
        <f>IF($A14="","",COUNTIFS(PERFORMANCE!$C$2:$C$1000,$A14,PERFORMANCE!$E$2:$E$1000,"DEWORM",PERFORMANCE!$B$2:$B$1000,$B$3))</f>
        <v/>
      </c>
      <c r="N14" s="29">
        <f>IF($A14="","",AVERAGEIFS(REPRODUCTION!$E$2:$E$1000,REPRODUCTION!$B$2:$B$1000,$A14,REPRODUCTION!$A$2:$A$1000,$B$3))</f>
        <v/>
      </c>
      <c r="O14" s="27">
        <f>IF($A14="","",AVERAGEIFS(PERFORMANCE!$F$2:$F$1000,PERFORMANCE!$C$2:$C$1000,$A14,PERFORMANCE!$E$2:$E$1000,"WEAN_WT",PERFORMANCE!$B$2:$B$1000,$B$3))</f>
        <v/>
      </c>
      <c r="P14" s="25">
        <f>IF($A14="","",AVERAGEIFS(PERFORMANCE!$F$2:$F$1000,PERFORMANCE!$C$2:$C$1000,$A14,PERFORMANCE!$E$2:$E$1000,"ADG",PERFORMANCE!$B$2:$B$1000,$B$3))</f>
        <v/>
      </c>
      <c r="Q14" s="27">
        <f>IF($A14="","",AVERAGEIFS(PERFORMANCE!$F$2:$F$1000,PERFORMANCE!$C$2:$C$1000,$A14,PERFORMANCE!$E$2:$E$1000,"SHEDDING",PERFORMANCE!$B$2:$B$1000,$B$3))</f>
        <v/>
      </c>
      <c r="R14" s="25">
        <f>IF($K14="","",IF(VLOOKUP($E14,PEN_STATS!$A$2:$V$10,4,FALSE)=0,0,-($K14-VLOOKUP($E14,PEN_STATS!$A$2:$V$10,3,FALSE))/VLOOKUP($E14,PEN_STATS!$A$2:$V$10,4,FALSE)))</f>
        <v/>
      </c>
      <c r="S14" s="25">
        <f>IF($L14="","",IF(VLOOKUP($E14,PEN_STATS!$A$2:$V$10,7,FALSE)=0,0,-($L14-VLOOKUP($E14,PEN_STATS!$A$2:$V$10,6,FALSE))/VLOOKUP($E14,PEN_STATS!$A$2:$V$10,7,FALSE)))</f>
        <v/>
      </c>
      <c r="T14" s="25">
        <f>IF($M14="","",IF(VLOOKUP($E14,PEN_STATS!$A$2:$V$10,10,FALSE)=0,0,-($M14-VLOOKUP($E14,PEN_STATS!$A$2:$V$10,9,FALSE))/VLOOKUP($E14,PEN_STATS!$A$2:$V$10,10,FALSE)))</f>
        <v/>
      </c>
      <c r="U14" s="25">
        <f>IF($N14="","",IF(VLOOKUP($E14,PEN_STATS!$A$2:$V$10,13,FALSE)=0,0,($N14-VLOOKUP($E14,PEN_STATS!$A$2:$V$10,12,FALSE))/VLOOKUP($E14,PEN_STATS!$A$2:$V$10,13,FALSE)))</f>
        <v/>
      </c>
      <c r="V14" s="25">
        <f>IF($O14="","",IF(VLOOKUP($E14,PEN_STATS!$A$2:$V$10,16,FALSE)=0,0,($O14-VLOOKUP($E14,PEN_STATS!$A$2:$V$10,15,FALSE))/VLOOKUP($E14,PEN_STATS!$A$2:$V$10,16,FALSE)))</f>
        <v/>
      </c>
      <c r="W14" s="25">
        <f>IF($P14="","",IF(VLOOKUP($E14,PEN_STATS!$A$2:$V$10,19,FALSE)=0,0,($P14-VLOOKUP($E14,PEN_STATS!$A$2:$V$10,18,FALSE))/VLOOKUP($E14,PEN_STATS!$A$2:$V$10,19,FALSE)))</f>
        <v/>
      </c>
      <c r="X14" s="25">
        <f>IF($Q14="","",IF(VLOOKUP($E14,PEN_STATS!$A$2:$V$10,22,FALSE)=0,0,($Q14-VLOOKUP($E14,PEN_STATS!$A$2:$V$10,21,FALSE))/VLOOKUP($E14,PEN_STATS!$A$2:$V$10,22,FALSE)))</f>
        <v/>
      </c>
      <c r="Y14" s="25">
        <f>IF($A14="","",'WEIGHTS_&amp;_RULES'!$B$12*$R14+'WEIGHTS_&amp;_RULES'!$B$13*$S14+'WEIGHTS_&amp;_RULES'!$B$14*$T14+'WEIGHTS_&amp;_RULES'!$B$15*$U14)</f>
        <v/>
      </c>
      <c r="Z14" s="25">
        <f>IF($A14="","",'WEIGHTS_&amp;_RULES'!$B$19*$V14+'WEIGHTS_&amp;_RULES'!$B$20*$W14)</f>
        <v/>
      </c>
      <c r="AA14" s="25">
        <f>IF($A14="","",'WEIGHTS_&amp;_RULES'!$B$24*$X14)</f>
        <v/>
      </c>
      <c r="AB14" s="25">
        <f>IF($A14="","",'WEIGHTS_&amp;_RULES'!$B$7*$Y14+'WEIGHTS_&amp;_RULES'!$B$8*$Z14+'WEIGHTS_&amp;_RULES'!$B$9*$AA14)</f>
        <v/>
      </c>
    </row>
    <row r="15">
      <c r="A15" s="9">
        <f>ANIMALS!A11</f>
        <v/>
      </c>
      <c r="B15" s="9">
        <f>ANIMALS!B11</f>
        <v/>
      </c>
      <c r="C15" s="9">
        <f>ANIMALS!D11</f>
        <v/>
      </c>
      <c r="D15" s="9">
        <f>ANIMALS!G11</f>
        <v/>
      </c>
      <c r="E15" s="9">
        <f>ANIMALS!H11</f>
        <v/>
      </c>
      <c r="F15" s="9">
        <f>ANIMALS!I11</f>
        <v/>
      </c>
      <c r="G15" s="9">
        <f>ANIMALS!O11</f>
        <v/>
      </c>
      <c r="H15" s="9">
        <f>ANIMALS!P11</f>
        <v/>
      </c>
      <c r="I15" s="9">
        <f>ANIMALS!Q11</f>
        <v/>
      </c>
      <c r="J15" s="9">
        <f>ANIMALS!R11</f>
        <v/>
      </c>
      <c r="K15" s="27">
        <f>IF($A15="","",AVERAGEIFS(PERFORMANCE!$F$2:$F$1000,PERFORMANCE!$C$2:$C$1000,$A15,PERFORMANCE!$E$2:$E$1000,"FAMACHA",PERFORMANCE!$B$2:$B$1000,$B$3))</f>
        <v/>
      </c>
      <c r="L15" s="7">
        <f>IF($A15="","",AVERAGEIFS(PERFORMANCE!$F$2:$F$1000,PERFORMANCE!$C$2:$C$1000,$A15,PERFORMANCE!$E$2:$E$1000,"FEC",PERFORMANCE!$B$2:$B$1000,$B$3))</f>
        <v/>
      </c>
      <c r="M15" s="7">
        <f>IF($A15="","",COUNTIFS(PERFORMANCE!$C$2:$C$1000,$A15,PERFORMANCE!$E$2:$E$1000,"DEWORM",PERFORMANCE!$B$2:$B$1000,$B$3))</f>
        <v/>
      </c>
      <c r="N15" s="29">
        <f>IF($A15="","",AVERAGEIFS(REPRODUCTION!$E$2:$E$1000,REPRODUCTION!$B$2:$B$1000,$A15,REPRODUCTION!$A$2:$A$1000,$B$3))</f>
        <v/>
      </c>
      <c r="O15" s="27">
        <f>IF($A15="","",AVERAGEIFS(PERFORMANCE!$F$2:$F$1000,PERFORMANCE!$C$2:$C$1000,$A15,PERFORMANCE!$E$2:$E$1000,"WEAN_WT",PERFORMANCE!$B$2:$B$1000,$B$3))</f>
        <v/>
      </c>
      <c r="P15" s="25">
        <f>IF($A15="","",AVERAGEIFS(PERFORMANCE!$F$2:$F$1000,PERFORMANCE!$C$2:$C$1000,$A15,PERFORMANCE!$E$2:$E$1000,"ADG",PERFORMANCE!$B$2:$B$1000,$B$3))</f>
        <v/>
      </c>
      <c r="Q15" s="27">
        <f>IF($A15="","",AVERAGEIFS(PERFORMANCE!$F$2:$F$1000,PERFORMANCE!$C$2:$C$1000,$A15,PERFORMANCE!$E$2:$E$1000,"SHEDDING",PERFORMANCE!$B$2:$B$1000,$B$3))</f>
        <v/>
      </c>
      <c r="R15" s="25">
        <f>IF($K15="","",IF(VLOOKUP($E15,PEN_STATS!$A$2:$V$10,4,FALSE)=0,0,-($K15-VLOOKUP($E15,PEN_STATS!$A$2:$V$10,3,FALSE))/VLOOKUP($E15,PEN_STATS!$A$2:$V$10,4,FALSE)))</f>
        <v/>
      </c>
      <c r="S15" s="25">
        <f>IF($L15="","",IF(VLOOKUP($E15,PEN_STATS!$A$2:$V$10,7,FALSE)=0,0,-($L15-VLOOKUP($E15,PEN_STATS!$A$2:$V$10,6,FALSE))/VLOOKUP($E15,PEN_STATS!$A$2:$V$10,7,FALSE)))</f>
        <v/>
      </c>
      <c r="T15" s="25">
        <f>IF($M15="","",IF(VLOOKUP($E15,PEN_STATS!$A$2:$V$10,10,FALSE)=0,0,-($M15-VLOOKUP($E15,PEN_STATS!$A$2:$V$10,9,FALSE))/VLOOKUP($E15,PEN_STATS!$A$2:$V$10,10,FALSE)))</f>
        <v/>
      </c>
      <c r="U15" s="25">
        <f>IF($N15="","",IF(VLOOKUP($E15,PEN_STATS!$A$2:$V$10,13,FALSE)=0,0,($N15-VLOOKUP($E15,PEN_STATS!$A$2:$V$10,12,FALSE))/VLOOKUP($E15,PEN_STATS!$A$2:$V$10,13,FALSE)))</f>
        <v/>
      </c>
      <c r="V15" s="25">
        <f>IF($O15="","",IF(VLOOKUP($E15,PEN_STATS!$A$2:$V$10,16,FALSE)=0,0,($O15-VLOOKUP($E15,PEN_STATS!$A$2:$V$10,15,FALSE))/VLOOKUP($E15,PEN_STATS!$A$2:$V$10,16,FALSE)))</f>
        <v/>
      </c>
      <c r="W15" s="25">
        <f>IF($P15="","",IF(VLOOKUP($E15,PEN_STATS!$A$2:$V$10,19,FALSE)=0,0,($P15-VLOOKUP($E15,PEN_STATS!$A$2:$V$10,18,FALSE))/VLOOKUP($E15,PEN_STATS!$A$2:$V$10,19,FALSE)))</f>
        <v/>
      </c>
      <c r="X15" s="25">
        <f>IF($Q15="","",IF(VLOOKUP($E15,PEN_STATS!$A$2:$V$10,22,FALSE)=0,0,($Q15-VLOOKUP($E15,PEN_STATS!$A$2:$V$10,21,FALSE))/VLOOKUP($E15,PEN_STATS!$A$2:$V$10,22,FALSE)))</f>
        <v/>
      </c>
      <c r="Y15" s="25">
        <f>IF($A15="","",'WEIGHTS_&amp;_RULES'!$B$12*$R15+'WEIGHTS_&amp;_RULES'!$B$13*$S15+'WEIGHTS_&amp;_RULES'!$B$14*$T15+'WEIGHTS_&amp;_RULES'!$B$15*$U15)</f>
        <v/>
      </c>
      <c r="Z15" s="25">
        <f>IF($A15="","",'WEIGHTS_&amp;_RULES'!$B$19*$V15+'WEIGHTS_&amp;_RULES'!$B$20*$W15)</f>
        <v/>
      </c>
      <c r="AA15" s="25">
        <f>IF($A15="","",'WEIGHTS_&amp;_RULES'!$B$24*$X15)</f>
        <v/>
      </c>
      <c r="AB15" s="25">
        <f>IF($A15="","",'WEIGHTS_&amp;_RULES'!$B$7*$Y15+'WEIGHTS_&amp;_RULES'!$B$8*$Z15+'WEIGHTS_&amp;_RULES'!$B$9*$AA15)</f>
        <v/>
      </c>
    </row>
    <row r="16">
      <c r="A16" s="9">
        <f>ANIMALS!A12</f>
        <v/>
      </c>
      <c r="B16" s="9">
        <f>ANIMALS!B12</f>
        <v/>
      </c>
      <c r="C16" s="9">
        <f>ANIMALS!D12</f>
        <v/>
      </c>
      <c r="D16" s="9">
        <f>ANIMALS!G12</f>
        <v/>
      </c>
      <c r="E16" s="9">
        <f>ANIMALS!H12</f>
        <v/>
      </c>
      <c r="F16" s="9">
        <f>ANIMALS!I12</f>
        <v/>
      </c>
      <c r="G16" s="9">
        <f>ANIMALS!O12</f>
        <v/>
      </c>
      <c r="H16" s="9">
        <f>ANIMALS!P12</f>
        <v/>
      </c>
      <c r="I16" s="9">
        <f>ANIMALS!Q12</f>
        <v/>
      </c>
      <c r="J16" s="9">
        <f>ANIMALS!R12</f>
        <v/>
      </c>
      <c r="K16" s="27">
        <f>IF($A16="","",AVERAGEIFS(PERFORMANCE!$F$2:$F$1000,PERFORMANCE!$C$2:$C$1000,$A16,PERFORMANCE!$E$2:$E$1000,"FAMACHA",PERFORMANCE!$B$2:$B$1000,$B$3))</f>
        <v/>
      </c>
      <c r="L16" s="7">
        <f>IF($A16="","",AVERAGEIFS(PERFORMANCE!$F$2:$F$1000,PERFORMANCE!$C$2:$C$1000,$A16,PERFORMANCE!$E$2:$E$1000,"FEC",PERFORMANCE!$B$2:$B$1000,$B$3))</f>
        <v/>
      </c>
      <c r="M16" s="7">
        <f>IF($A16="","",COUNTIFS(PERFORMANCE!$C$2:$C$1000,$A16,PERFORMANCE!$E$2:$E$1000,"DEWORM",PERFORMANCE!$B$2:$B$1000,$B$3))</f>
        <v/>
      </c>
      <c r="N16" s="29">
        <f>IF($A16="","",AVERAGEIFS(REPRODUCTION!$E$2:$E$1000,REPRODUCTION!$B$2:$B$1000,$A16,REPRODUCTION!$A$2:$A$1000,$B$3))</f>
        <v/>
      </c>
      <c r="O16" s="27">
        <f>IF($A16="","",AVERAGEIFS(PERFORMANCE!$F$2:$F$1000,PERFORMANCE!$C$2:$C$1000,$A16,PERFORMANCE!$E$2:$E$1000,"WEAN_WT",PERFORMANCE!$B$2:$B$1000,$B$3))</f>
        <v/>
      </c>
      <c r="P16" s="25">
        <f>IF($A16="","",AVERAGEIFS(PERFORMANCE!$F$2:$F$1000,PERFORMANCE!$C$2:$C$1000,$A16,PERFORMANCE!$E$2:$E$1000,"ADG",PERFORMANCE!$B$2:$B$1000,$B$3))</f>
        <v/>
      </c>
      <c r="Q16" s="27">
        <f>IF($A16="","",AVERAGEIFS(PERFORMANCE!$F$2:$F$1000,PERFORMANCE!$C$2:$C$1000,$A16,PERFORMANCE!$E$2:$E$1000,"SHEDDING",PERFORMANCE!$B$2:$B$1000,$B$3))</f>
        <v/>
      </c>
      <c r="R16" s="25">
        <f>IF($K16="","",IF(VLOOKUP($E16,PEN_STATS!$A$2:$V$10,4,FALSE)=0,0,-($K16-VLOOKUP($E16,PEN_STATS!$A$2:$V$10,3,FALSE))/VLOOKUP($E16,PEN_STATS!$A$2:$V$10,4,FALSE)))</f>
        <v/>
      </c>
      <c r="S16" s="25">
        <f>IF($L16="","",IF(VLOOKUP($E16,PEN_STATS!$A$2:$V$10,7,FALSE)=0,0,-($L16-VLOOKUP($E16,PEN_STATS!$A$2:$V$10,6,FALSE))/VLOOKUP($E16,PEN_STATS!$A$2:$V$10,7,FALSE)))</f>
        <v/>
      </c>
      <c r="T16" s="25">
        <f>IF($M16="","",IF(VLOOKUP($E16,PEN_STATS!$A$2:$V$10,10,FALSE)=0,0,-($M16-VLOOKUP($E16,PEN_STATS!$A$2:$V$10,9,FALSE))/VLOOKUP($E16,PEN_STATS!$A$2:$V$10,10,FALSE)))</f>
        <v/>
      </c>
      <c r="U16" s="25">
        <f>IF($N16="","",IF(VLOOKUP($E16,PEN_STATS!$A$2:$V$10,13,FALSE)=0,0,($N16-VLOOKUP($E16,PEN_STATS!$A$2:$V$10,12,FALSE))/VLOOKUP($E16,PEN_STATS!$A$2:$V$10,13,FALSE)))</f>
        <v/>
      </c>
      <c r="V16" s="25">
        <f>IF($O16="","",IF(VLOOKUP($E16,PEN_STATS!$A$2:$V$10,16,FALSE)=0,0,($O16-VLOOKUP($E16,PEN_STATS!$A$2:$V$10,15,FALSE))/VLOOKUP($E16,PEN_STATS!$A$2:$V$10,16,FALSE)))</f>
        <v/>
      </c>
      <c r="W16" s="25">
        <f>IF($P16="","",IF(VLOOKUP($E16,PEN_STATS!$A$2:$V$10,19,FALSE)=0,0,($P16-VLOOKUP($E16,PEN_STATS!$A$2:$V$10,18,FALSE))/VLOOKUP($E16,PEN_STATS!$A$2:$V$10,19,FALSE)))</f>
        <v/>
      </c>
      <c r="X16" s="25">
        <f>IF($Q16="","",IF(VLOOKUP($E16,PEN_STATS!$A$2:$V$10,22,FALSE)=0,0,($Q16-VLOOKUP($E16,PEN_STATS!$A$2:$V$10,21,FALSE))/VLOOKUP($E16,PEN_STATS!$A$2:$V$10,22,FALSE)))</f>
        <v/>
      </c>
      <c r="Y16" s="25">
        <f>IF($A16="","",'WEIGHTS_&amp;_RULES'!$B$12*$R16+'WEIGHTS_&amp;_RULES'!$B$13*$S16+'WEIGHTS_&amp;_RULES'!$B$14*$T16+'WEIGHTS_&amp;_RULES'!$B$15*$U16)</f>
        <v/>
      </c>
      <c r="Z16" s="25">
        <f>IF($A16="","",'WEIGHTS_&amp;_RULES'!$B$19*$V16+'WEIGHTS_&amp;_RULES'!$B$20*$W16)</f>
        <v/>
      </c>
      <c r="AA16" s="25">
        <f>IF($A16="","",'WEIGHTS_&amp;_RULES'!$B$24*$X16)</f>
        <v/>
      </c>
      <c r="AB16" s="25">
        <f>IF($A16="","",'WEIGHTS_&amp;_RULES'!$B$7*$Y16+'WEIGHTS_&amp;_RULES'!$B$8*$Z16+'WEIGHTS_&amp;_RULES'!$B$9*$AA16)</f>
        <v/>
      </c>
    </row>
    <row r="17">
      <c r="A17" s="9">
        <f>ANIMALS!A13</f>
        <v/>
      </c>
      <c r="B17" s="9">
        <f>ANIMALS!B13</f>
        <v/>
      </c>
      <c r="C17" s="9">
        <f>ANIMALS!D13</f>
        <v/>
      </c>
      <c r="D17" s="9">
        <f>ANIMALS!G13</f>
        <v/>
      </c>
      <c r="E17" s="9">
        <f>ANIMALS!H13</f>
        <v/>
      </c>
      <c r="F17" s="9">
        <f>ANIMALS!I13</f>
        <v/>
      </c>
      <c r="G17" s="9">
        <f>ANIMALS!O13</f>
        <v/>
      </c>
      <c r="H17" s="9">
        <f>ANIMALS!P13</f>
        <v/>
      </c>
      <c r="I17" s="9">
        <f>ANIMALS!Q13</f>
        <v/>
      </c>
      <c r="J17" s="9">
        <f>ANIMALS!R13</f>
        <v/>
      </c>
      <c r="K17" s="27">
        <f>IF($A17="","",AVERAGEIFS(PERFORMANCE!$F$2:$F$1000,PERFORMANCE!$C$2:$C$1000,$A17,PERFORMANCE!$E$2:$E$1000,"FAMACHA",PERFORMANCE!$B$2:$B$1000,$B$3))</f>
        <v/>
      </c>
      <c r="L17" s="7">
        <f>IF($A17="","",AVERAGEIFS(PERFORMANCE!$F$2:$F$1000,PERFORMANCE!$C$2:$C$1000,$A17,PERFORMANCE!$E$2:$E$1000,"FEC",PERFORMANCE!$B$2:$B$1000,$B$3))</f>
        <v/>
      </c>
      <c r="M17" s="7">
        <f>IF($A17="","",COUNTIFS(PERFORMANCE!$C$2:$C$1000,$A17,PERFORMANCE!$E$2:$E$1000,"DEWORM",PERFORMANCE!$B$2:$B$1000,$B$3))</f>
        <v/>
      </c>
      <c r="N17" s="29">
        <f>IF($A17="","",AVERAGEIFS(REPRODUCTION!$E$2:$E$1000,REPRODUCTION!$B$2:$B$1000,$A17,REPRODUCTION!$A$2:$A$1000,$B$3))</f>
        <v/>
      </c>
      <c r="O17" s="27">
        <f>IF($A17="","",AVERAGEIFS(PERFORMANCE!$F$2:$F$1000,PERFORMANCE!$C$2:$C$1000,$A17,PERFORMANCE!$E$2:$E$1000,"WEAN_WT",PERFORMANCE!$B$2:$B$1000,$B$3))</f>
        <v/>
      </c>
      <c r="P17" s="25">
        <f>IF($A17="","",AVERAGEIFS(PERFORMANCE!$F$2:$F$1000,PERFORMANCE!$C$2:$C$1000,$A17,PERFORMANCE!$E$2:$E$1000,"ADG",PERFORMANCE!$B$2:$B$1000,$B$3))</f>
        <v/>
      </c>
      <c r="Q17" s="27">
        <f>IF($A17="","",AVERAGEIFS(PERFORMANCE!$F$2:$F$1000,PERFORMANCE!$C$2:$C$1000,$A17,PERFORMANCE!$E$2:$E$1000,"SHEDDING",PERFORMANCE!$B$2:$B$1000,$B$3))</f>
        <v/>
      </c>
      <c r="R17" s="25">
        <f>IF($K17="","",IF(VLOOKUP($E17,PEN_STATS!$A$2:$V$10,4,FALSE)=0,0,-($K17-VLOOKUP($E17,PEN_STATS!$A$2:$V$10,3,FALSE))/VLOOKUP($E17,PEN_STATS!$A$2:$V$10,4,FALSE)))</f>
        <v/>
      </c>
      <c r="S17" s="25">
        <f>IF($L17="","",IF(VLOOKUP($E17,PEN_STATS!$A$2:$V$10,7,FALSE)=0,0,-($L17-VLOOKUP($E17,PEN_STATS!$A$2:$V$10,6,FALSE))/VLOOKUP($E17,PEN_STATS!$A$2:$V$10,7,FALSE)))</f>
        <v/>
      </c>
      <c r="T17" s="25">
        <f>IF($M17="","",IF(VLOOKUP($E17,PEN_STATS!$A$2:$V$10,10,FALSE)=0,0,-($M17-VLOOKUP($E17,PEN_STATS!$A$2:$V$10,9,FALSE))/VLOOKUP($E17,PEN_STATS!$A$2:$V$10,10,FALSE)))</f>
        <v/>
      </c>
      <c r="U17" s="25">
        <f>IF($N17="","",IF(VLOOKUP($E17,PEN_STATS!$A$2:$V$10,13,FALSE)=0,0,($N17-VLOOKUP($E17,PEN_STATS!$A$2:$V$10,12,FALSE))/VLOOKUP($E17,PEN_STATS!$A$2:$V$10,13,FALSE)))</f>
        <v/>
      </c>
      <c r="V17" s="25">
        <f>IF($O17="","",IF(VLOOKUP($E17,PEN_STATS!$A$2:$V$10,16,FALSE)=0,0,($O17-VLOOKUP($E17,PEN_STATS!$A$2:$V$10,15,FALSE))/VLOOKUP($E17,PEN_STATS!$A$2:$V$10,16,FALSE)))</f>
        <v/>
      </c>
      <c r="W17" s="25">
        <f>IF($P17="","",IF(VLOOKUP($E17,PEN_STATS!$A$2:$V$10,19,FALSE)=0,0,($P17-VLOOKUP($E17,PEN_STATS!$A$2:$V$10,18,FALSE))/VLOOKUP($E17,PEN_STATS!$A$2:$V$10,19,FALSE)))</f>
        <v/>
      </c>
      <c r="X17" s="25">
        <f>IF($Q17="","",IF(VLOOKUP($E17,PEN_STATS!$A$2:$V$10,22,FALSE)=0,0,($Q17-VLOOKUP($E17,PEN_STATS!$A$2:$V$10,21,FALSE))/VLOOKUP($E17,PEN_STATS!$A$2:$V$10,22,FALSE)))</f>
        <v/>
      </c>
      <c r="Y17" s="25">
        <f>IF($A17="","",'WEIGHTS_&amp;_RULES'!$B$12*$R17+'WEIGHTS_&amp;_RULES'!$B$13*$S17+'WEIGHTS_&amp;_RULES'!$B$14*$T17+'WEIGHTS_&amp;_RULES'!$B$15*$U17)</f>
        <v/>
      </c>
      <c r="Z17" s="25">
        <f>IF($A17="","",'WEIGHTS_&amp;_RULES'!$B$19*$V17+'WEIGHTS_&amp;_RULES'!$B$20*$W17)</f>
        <v/>
      </c>
      <c r="AA17" s="25">
        <f>IF($A17="","",'WEIGHTS_&amp;_RULES'!$B$24*$X17)</f>
        <v/>
      </c>
      <c r="AB17" s="25">
        <f>IF($A17="","",'WEIGHTS_&amp;_RULES'!$B$7*$Y17+'WEIGHTS_&amp;_RULES'!$B$8*$Z17+'WEIGHTS_&amp;_RULES'!$B$9*$AA17)</f>
        <v/>
      </c>
    </row>
    <row r="18">
      <c r="A18" s="9">
        <f>ANIMALS!A14</f>
        <v/>
      </c>
      <c r="B18" s="9">
        <f>ANIMALS!B14</f>
        <v/>
      </c>
      <c r="C18" s="9">
        <f>ANIMALS!D14</f>
        <v/>
      </c>
      <c r="D18" s="9">
        <f>ANIMALS!G14</f>
        <v/>
      </c>
      <c r="E18" s="9">
        <f>ANIMALS!H14</f>
        <v/>
      </c>
      <c r="F18" s="9">
        <f>ANIMALS!I14</f>
        <v/>
      </c>
      <c r="G18" s="9">
        <f>ANIMALS!O14</f>
        <v/>
      </c>
      <c r="H18" s="9">
        <f>ANIMALS!P14</f>
        <v/>
      </c>
      <c r="I18" s="9">
        <f>ANIMALS!Q14</f>
        <v/>
      </c>
      <c r="J18" s="9">
        <f>ANIMALS!R14</f>
        <v/>
      </c>
      <c r="K18" s="27">
        <f>IF($A18="","",AVERAGEIFS(PERFORMANCE!$F$2:$F$1000,PERFORMANCE!$C$2:$C$1000,$A18,PERFORMANCE!$E$2:$E$1000,"FAMACHA",PERFORMANCE!$B$2:$B$1000,$B$3))</f>
        <v/>
      </c>
      <c r="L18" s="7">
        <f>IF($A18="","",AVERAGEIFS(PERFORMANCE!$F$2:$F$1000,PERFORMANCE!$C$2:$C$1000,$A18,PERFORMANCE!$E$2:$E$1000,"FEC",PERFORMANCE!$B$2:$B$1000,$B$3))</f>
        <v/>
      </c>
      <c r="M18" s="7">
        <f>IF($A18="","",COUNTIFS(PERFORMANCE!$C$2:$C$1000,$A18,PERFORMANCE!$E$2:$E$1000,"DEWORM",PERFORMANCE!$B$2:$B$1000,$B$3))</f>
        <v/>
      </c>
      <c r="N18" s="29">
        <f>IF($A18="","",AVERAGEIFS(REPRODUCTION!$E$2:$E$1000,REPRODUCTION!$B$2:$B$1000,$A18,REPRODUCTION!$A$2:$A$1000,$B$3))</f>
        <v/>
      </c>
      <c r="O18" s="27">
        <f>IF($A18="","",AVERAGEIFS(PERFORMANCE!$F$2:$F$1000,PERFORMANCE!$C$2:$C$1000,$A18,PERFORMANCE!$E$2:$E$1000,"WEAN_WT",PERFORMANCE!$B$2:$B$1000,$B$3))</f>
        <v/>
      </c>
      <c r="P18" s="25">
        <f>IF($A18="","",AVERAGEIFS(PERFORMANCE!$F$2:$F$1000,PERFORMANCE!$C$2:$C$1000,$A18,PERFORMANCE!$E$2:$E$1000,"ADG",PERFORMANCE!$B$2:$B$1000,$B$3))</f>
        <v/>
      </c>
      <c r="Q18" s="27">
        <f>IF($A18="","",AVERAGEIFS(PERFORMANCE!$F$2:$F$1000,PERFORMANCE!$C$2:$C$1000,$A18,PERFORMANCE!$E$2:$E$1000,"SHEDDING",PERFORMANCE!$B$2:$B$1000,$B$3))</f>
        <v/>
      </c>
      <c r="R18" s="25">
        <f>IF($K18="","",IF(VLOOKUP($E18,PEN_STATS!$A$2:$V$10,4,FALSE)=0,0,-($K18-VLOOKUP($E18,PEN_STATS!$A$2:$V$10,3,FALSE))/VLOOKUP($E18,PEN_STATS!$A$2:$V$10,4,FALSE)))</f>
        <v/>
      </c>
      <c r="S18" s="25">
        <f>IF($L18="","",IF(VLOOKUP($E18,PEN_STATS!$A$2:$V$10,7,FALSE)=0,0,-($L18-VLOOKUP($E18,PEN_STATS!$A$2:$V$10,6,FALSE))/VLOOKUP($E18,PEN_STATS!$A$2:$V$10,7,FALSE)))</f>
        <v/>
      </c>
      <c r="T18" s="25">
        <f>IF($M18="","",IF(VLOOKUP($E18,PEN_STATS!$A$2:$V$10,10,FALSE)=0,0,-($M18-VLOOKUP($E18,PEN_STATS!$A$2:$V$10,9,FALSE))/VLOOKUP($E18,PEN_STATS!$A$2:$V$10,10,FALSE)))</f>
        <v/>
      </c>
      <c r="U18" s="25">
        <f>IF($N18="","",IF(VLOOKUP($E18,PEN_STATS!$A$2:$V$10,13,FALSE)=0,0,($N18-VLOOKUP($E18,PEN_STATS!$A$2:$V$10,12,FALSE))/VLOOKUP($E18,PEN_STATS!$A$2:$V$10,13,FALSE)))</f>
        <v/>
      </c>
      <c r="V18" s="25">
        <f>IF($O18="","",IF(VLOOKUP($E18,PEN_STATS!$A$2:$V$10,16,FALSE)=0,0,($O18-VLOOKUP($E18,PEN_STATS!$A$2:$V$10,15,FALSE))/VLOOKUP($E18,PEN_STATS!$A$2:$V$10,16,FALSE)))</f>
        <v/>
      </c>
      <c r="W18" s="25">
        <f>IF($P18="","",IF(VLOOKUP($E18,PEN_STATS!$A$2:$V$10,19,FALSE)=0,0,($P18-VLOOKUP($E18,PEN_STATS!$A$2:$V$10,18,FALSE))/VLOOKUP($E18,PEN_STATS!$A$2:$V$10,19,FALSE)))</f>
        <v/>
      </c>
      <c r="X18" s="25">
        <f>IF($Q18="","",IF(VLOOKUP($E18,PEN_STATS!$A$2:$V$10,22,FALSE)=0,0,($Q18-VLOOKUP($E18,PEN_STATS!$A$2:$V$10,21,FALSE))/VLOOKUP($E18,PEN_STATS!$A$2:$V$10,22,FALSE)))</f>
        <v/>
      </c>
      <c r="Y18" s="25">
        <f>IF($A18="","",'WEIGHTS_&amp;_RULES'!$B$12*$R18+'WEIGHTS_&amp;_RULES'!$B$13*$S18+'WEIGHTS_&amp;_RULES'!$B$14*$T18+'WEIGHTS_&amp;_RULES'!$B$15*$U18)</f>
        <v/>
      </c>
      <c r="Z18" s="25">
        <f>IF($A18="","",'WEIGHTS_&amp;_RULES'!$B$19*$V18+'WEIGHTS_&amp;_RULES'!$B$20*$W18)</f>
        <v/>
      </c>
      <c r="AA18" s="25">
        <f>IF($A18="","",'WEIGHTS_&amp;_RULES'!$B$24*$X18)</f>
        <v/>
      </c>
      <c r="AB18" s="25">
        <f>IF($A18="","",'WEIGHTS_&amp;_RULES'!$B$7*$Y18+'WEIGHTS_&amp;_RULES'!$B$8*$Z18+'WEIGHTS_&amp;_RULES'!$B$9*$AA18)</f>
        <v/>
      </c>
    </row>
    <row r="19">
      <c r="A19" s="9">
        <f>ANIMALS!A15</f>
        <v/>
      </c>
      <c r="B19" s="9">
        <f>ANIMALS!B15</f>
        <v/>
      </c>
      <c r="C19" s="9">
        <f>ANIMALS!D15</f>
        <v/>
      </c>
      <c r="D19" s="9">
        <f>ANIMALS!G15</f>
        <v/>
      </c>
      <c r="E19" s="9">
        <f>ANIMALS!H15</f>
        <v/>
      </c>
      <c r="F19" s="9">
        <f>ANIMALS!I15</f>
        <v/>
      </c>
      <c r="G19" s="9">
        <f>ANIMALS!O15</f>
        <v/>
      </c>
      <c r="H19" s="9">
        <f>ANIMALS!P15</f>
        <v/>
      </c>
      <c r="I19" s="9">
        <f>ANIMALS!Q15</f>
        <v/>
      </c>
      <c r="J19" s="9">
        <f>ANIMALS!R15</f>
        <v/>
      </c>
      <c r="K19" s="27">
        <f>IF($A19="","",AVERAGEIFS(PERFORMANCE!$F$2:$F$1000,PERFORMANCE!$C$2:$C$1000,$A19,PERFORMANCE!$E$2:$E$1000,"FAMACHA",PERFORMANCE!$B$2:$B$1000,$B$3))</f>
        <v/>
      </c>
      <c r="L19" s="7">
        <f>IF($A19="","",AVERAGEIFS(PERFORMANCE!$F$2:$F$1000,PERFORMANCE!$C$2:$C$1000,$A19,PERFORMANCE!$E$2:$E$1000,"FEC",PERFORMANCE!$B$2:$B$1000,$B$3))</f>
        <v/>
      </c>
      <c r="M19" s="7">
        <f>IF($A19="","",COUNTIFS(PERFORMANCE!$C$2:$C$1000,$A19,PERFORMANCE!$E$2:$E$1000,"DEWORM",PERFORMANCE!$B$2:$B$1000,$B$3))</f>
        <v/>
      </c>
      <c r="N19" s="29">
        <f>IF($A19="","",AVERAGEIFS(REPRODUCTION!$E$2:$E$1000,REPRODUCTION!$B$2:$B$1000,$A19,REPRODUCTION!$A$2:$A$1000,$B$3))</f>
        <v/>
      </c>
      <c r="O19" s="27">
        <f>IF($A19="","",AVERAGEIFS(PERFORMANCE!$F$2:$F$1000,PERFORMANCE!$C$2:$C$1000,$A19,PERFORMANCE!$E$2:$E$1000,"WEAN_WT",PERFORMANCE!$B$2:$B$1000,$B$3))</f>
        <v/>
      </c>
      <c r="P19" s="25">
        <f>IF($A19="","",AVERAGEIFS(PERFORMANCE!$F$2:$F$1000,PERFORMANCE!$C$2:$C$1000,$A19,PERFORMANCE!$E$2:$E$1000,"ADG",PERFORMANCE!$B$2:$B$1000,$B$3))</f>
        <v/>
      </c>
      <c r="Q19" s="27">
        <f>IF($A19="","",AVERAGEIFS(PERFORMANCE!$F$2:$F$1000,PERFORMANCE!$C$2:$C$1000,$A19,PERFORMANCE!$E$2:$E$1000,"SHEDDING",PERFORMANCE!$B$2:$B$1000,$B$3))</f>
        <v/>
      </c>
      <c r="R19" s="25">
        <f>IF($K19="","",IF(VLOOKUP($E19,PEN_STATS!$A$2:$V$10,4,FALSE)=0,0,-($K19-VLOOKUP($E19,PEN_STATS!$A$2:$V$10,3,FALSE))/VLOOKUP($E19,PEN_STATS!$A$2:$V$10,4,FALSE)))</f>
        <v/>
      </c>
      <c r="S19" s="25">
        <f>IF($L19="","",IF(VLOOKUP($E19,PEN_STATS!$A$2:$V$10,7,FALSE)=0,0,-($L19-VLOOKUP($E19,PEN_STATS!$A$2:$V$10,6,FALSE))/VLOOKUP($E19,PEN_STATS!$A$2:$V$10,7,FALSE)))</f>
        <v/>
      </c>
      <c r="T19" s="25">
        <f>IF($M19="","",IF(VLOOKUP($E19,PEN_STATS!$A$2:$V$10,10,FALSE)=0,0,-($M19-VLOOKUP($E19,PEN_STATS!$A$2:$V$10,9,FALSE))/VLOOKUP($E19,PEN_STATS!$A$2:$V$10,10,FALSE)))</f>
        <v/>
      </c>
      <c r="U19" s="25">
        <f>IF($N19="","",IF(VLOOKUP($E19,PEN_STATS!$A$2:$V$10,13,FALSE)=0,0,($N19-VLOOKUP($E19,PEN_STATS!$A$2:$V$10,12,FALSE))/VLOOKUP($E19,PEN_STATS!$A$2:$V$10,13,FALSE)))</f>
        <v/>
      </c>
      <c r="V19" s="25">
        <f>IF($O19="","",IF(VLOOKUP($E19,PEN_STATS!$A$2:$V$10,16,FALSE)=0,0,($O19-VLOOKUP($E19,PEN_STATS!$A$2:$V$10,15,FALSE))/VLOOKUP($E19,PEN_STATS!$A$2:$V$10,16,FALSE)))</f>
        <v/>
      </c>
      <c r="W19" s="25">
        <f>IF($P19="","",IF(VLOOKUP($E19,PEN_STATS!$A$2:$V$10,19,FALSE)=0,0,($P19-VLOOKUP($E19,PEN_STATS!$A$2:$V$10,18,FALSE))/VLOOKUP($E19,PEN_STATS!$A$2:$V$10,19,FALSE)))</f>
        <v/>
      </c>
      <c r="X19" s="25">
        <f>IF($Q19="","",IF(VLOOKUP($E19,PEN_STATS!$A$2:$V$10,22,FALSE)=0,0,($Q19-VLOOKUP($E19,PEN_STATS!$A$2:$V$10,21,FALSE))/VLOOKUP($E19,PEN_STATS!$A$2:$V$10,22,FALSE)))</f>
        <v/>
      </c>
      <c r="Y19" s="25">
        <f>IF($A19="","",'WEIGHTS_&amp;_RULES'!$B$12*$R19+'WEIGHTS_&amp;_RULES'!$B$13*$S19+'WEIGHTS_&amp;_RULES'!$B$14*$T19+'WEIGHTS_&amp;_RULES'!$B$15*$U19)</f>
        <v/>
      </c>
      <c r="Z19" s="25">
        <f>IF($A19="","",'WEIGHTS_&amp;_RULES'!$B$19*$V19+'WEIGHTS_&amp;_RULES'!$B$20*$W19)</f>
        <v/>
      </c>
      <c r="AA19" s="25">
        <f>IF($A19="","",'WEIGHTS_&amp;_RULES'!$B$24*$X19)</f>
        <v/>
      </c>
      <c r="AB19" s="25">
        <f>IF($A19="","",'WEIGHTS_&amp;_RULES'!$B$7*$Y19+'WEIGHTS_&amp;_RULES'!$B$8*$Z19+'WEIGHTS_&amp;_RULES'!$B$9*$AA19)</f>
        <v/>
      </c>
    </row>
    <row r="20">
      <c r="A20" s="9">
        <f>ANIMALS!A16</f>
        <v/>
      </c>
      <c r="B20" s="9">
        <f>ANIMALS!B16</f>
        <v/>
      </c>
      <c r="C20" s="9">
        <f>ANIMALS!D16</f>
        <v/>
      </c>
      <c r="D20" s="9">
        <f>ANIMALS!G16</f>
        <v/>
      </c>
      <c r="E20" s="9">
        <f>ANIMALS!H16</f>
        <v/>
      </c>
      <c r="F20" s="9">
        <f>ANIMALS!I16</f>
        <v/>
      </c>
      <c r="G20" s="9">
        <f>ANIMALS!O16</f>
        <v/>
      </c>
      <c r="H20" s="9">
        <f>ANIMALS!P16</f>
        <v/>
      </c>
      <c r="I20" s="9">
        <f>ANIMALS!Q16</f>
        <v/>
      </c>
      <c r="J20" s="9">
        <f>ANIMALS!R16</f>
        <v/>
      </c>
      <c r="K20" s="27">
        <f>IF($A20="","",AVERAGEIFS(PERFORMANCE!$F$2:$F$1000,PERFORMANCE!$C$2:$C$1000,$A20,PERFORMANCE!$E$2:$E$1000,"FAMACHA",PERFORMANCE!$B$2:$B$1000,$B$3))</f>
        <v/>
      </c>
      <c r="L20" s="7">
        <f>IF($A20="","",AVERAGEIFS(PERFORMANCE!$F$2:$F$1000,PERFORMANCE!$C$2:$C$1000,$A20,PERFORMANCE!$E$2:$E$1000,"FEC",PERFORMANCE!$B$2:$B$1000,$B$3))</f>
        <v/>
      </c>
      <c r="M20" s="7">
        <f>IF($A20="","",COUNTIFS(PERFORMANCE!$C$2:$C$1000,$A20,PERFORMANCE!$E$2:$E$1000,"DEWORM",PERFORMANCE!$B$2:$B$1000,$B$3))</f>
        <v/>
      </c>
      <c r="N20" s="29">
        <f>IF($A20="","",AVERAGEIFS(REPRODUCTION!$E$2:$E$1000,REPRODUCTION!$B$2:$B$1000,$A20,REPRODUCTION!$A$2:$A$1000,$B$3))</f>
        <v/>
      </c>
      <c r="O20" s="27">
        <f>IF($A20="","",AVERAGEIFS(PERFORMANCE!$F$2:$F$1000,PERFORMANCE!$C$2:$C$1000,$A20,PERFORMANCE!$E$2:$E$1000,"WEAN_WT",PERFORMANCE!$B$2:$B$1000,$B$3))</f>
        <v/>
      </c>
      <c r="P20" s="25">
        <f>IF($A20="","",AVERAGEIFS(PERFORMANCE!$F$2:$F$1000,PERFORMANCE!$C$2:$C$1000,$A20,PERFORMANCE!$E$2:$E$1000,"ADG",PERFORMANCE!$B$2:$B$1000,$B$3))</f>
        <v/>
      </c>
      <c r="Q20" s="27">
        <f>IF($A20="","",AVERAGEIFS(PERFORMANCE!$F$2:$F$1000,PERFORMANCE!$C$2:$C$1000,$A20,PERFORMANCE!$E$2:$E$1000,"SHEDDING",PERFORMANCE!$B$2:$B$1000,$B$3))</f>
        <v/>
      </c>
      <c r="R20" s="25">
        <f>IF($K20="","",IF(VLOOKUP($E20,PEN_STATS!$A$2:$V$10,4,FALSE)=0,0,-($K20-VLOOKUP($E20,PEN_STATS!$A$2:$V$10,3,FALSE))/VLOOKUP($E20,PEN_STATS!$A$2:$V$10,4,FALSE)))</f>
        <v/>
      </c>
      <c r="S20" s="25">
        <f>IF($L20="","",IF(VLOOKUP($E20,PEN_STATS!$A$2:$V$10,7,FALSE)=0,0,-($L20-VLOOKUP($E20,PEN_STATS!$A$2:$V$10,6,FALSE))/VLOOKUP($E20,PEN_STATS!$A$2:$V$10,7,FALSE)))</f>
        <v/>
      </c>
      <c r="T20" s="25">
        <f>IF($M20="","",IF(VLOOKUP($E20,PEN_STATS!$A$2:$V$10,10,FALSE)=0,0,-($M20-VLOOKUP($E20,PEN_STATS!$A$2:$V$10,9,FALSE))/VLOOKUP($E20,PEN_STATS!$A$2:$V$10,10,FALSE)))</f>
        <v/>
      </c>
      <c r="U20" s="25">
        <f>IF($N20="","",IF(VLOOKUP($E20,PEN_STATS!$A$2:$V$10,13,FALSE)=0,0,($N20-VLOOKUP($E20,PEN_STATS!$A$2:$V$10,12,FALSE))/VLOOKUP($E20,PEN_STATS!$A$2:$V$10,13,FALSE)))</f>
        <v/>
      </c>
      <c r="V20" s="25">
        <f>IF($O20="","",IF(VLOOKUP($E20,PEN_STATS!$A$2:$V$10,16,FALSE)=0,0,($O20-VLOOKUP($E20,PEN_STATS!$A$2:$V$10,15,FALSE))/VLOOKUP($E20,PEN_STATS!$A$2:$V$10,16,FALSE)))</f>
        <v/>
      </c>
      <c r="W20" s="25">
        <f>IF($P20="","",IF(VLOOKUP($E20,PEN_STATS!$A$2:$V$10,19,FALSE)=0,0,($P20-VLOOKUP($E20,PEN_STATS!$A$2:$V$10,18,FALSE))/VLOOKUP($E20,PEN_STATS!$A$2:$V$10,19,FALSE)))</f>
        <v/>
      </c>
      <c r="X20" s="25">
        <f>IF($Q20="","",IF(VLOOKUP($E20,PEN_STATS!$A$2:$V$10,22,FALSE)=0,0,($Q20-VLOOKUP($E20,PEN_STATS!$A$2:$V$10,21,FALSE))/VLOOKUP($E20,PEN_STATS!$A$2:$V$10,22,FALSE)))</f>
        <v/>
      </c>
      <c r="Y20" s="25">
        <f>IF($A20="","",'WEIGHTS_&amp;_RULES'!$B$12*$R20+'WEIGHTS_&amp;_RULES'!$B$13*$S20+'WEIGHTS_&amp;_RULES'!$B$14*$T20+'WEIGHTS_&amp;_RULES'!$B$15*$U20)</f>
        <v/>
      </c>
      <c r="Z20" s="25">
        <f>IF($A20="","",'WEIGHTS_&amp;_RULES'!$B$19*$V20+'WEIGHTS_&amp;_RULES'!$B$20*$W20)</f>
        <v/>
      </c>
      <c r="AA20" s="25">
        <f>IF($A20="","",'WEIGHTS_&amp;_RULES'!$B$24*$X20)</f>
        <v/>
      </c>
      <c r="AB20" s="25">
        <f>IF($A20="","",'WEIGHTS_&amp;_RULES'!$B$7*$Y20+'WEIGHTS_&amp;_RULES'!$B$8*$Z20+'WEIGHTS_&amp;_RULES'!$B$9*$AA20)</f>
        <v/>
      </c>
    </row>
    <row r="21">
      <c r="A21" s="9">
        <f>ANIMALS!A17</f>
        <v/>
      </c>
      <c r="B21" s="9">
        <f>ANIMALS!B17</f>
        <v/>
      </c>
      <c r="C21" s="9">
        <f>ANIMALS!D17</f>
        <v/>
      </c>
      <c r="D21" s="9">
        <f>ANIMALS!G17</f>
        <v/>
      </c>
      <c r="E21" s="9">
        <f>ANIMALS!H17</f>
        <v/>
      </c>
      <c r="F21" s="9">
        <f>ANIMALS!I17</f>
        <v/>
      </c>
      <c r="G21" s="9">
        <f>ANIMALS!O17</f>
        <v/>
      </c>
      <c r="H21" s="9">
        <f>ANIMALS!P17</f>
        <v/>
      </c>
      <c r="I21" s="9">
        <f>ANIMALS!Q17</f>
        <v/>
      </c>
      <c r="J21" s="9">
        <f>ANIMALS!R17</f>
        <v/>
      </c>
      <c r="K21" s="27">
        <f>IF($A21="","",AVERAGEIFS(PERFORMANCE!$F$2:$F$1000,PERFORMANCE!$C$2:$C$1000,$A21,PERFORMANCE!$E$2:$E$1000,"FAMACHA",PERFORMANCE!$B$2:$B$1000,$B$3))</f>
        <v/>
      </c>
      <c r="L21" s="7">
        <f>IF($A21="","",AVERAGEIFS(PERFORMANCE!$F$2:$F$1000,PERFORMANCE!$C$2:$C$1000,$A21,PERFORMANCE!$E$2:$E$1000,"FEC",PERFORMANCE!$B$2:$B$1000,$B$3))</f>
        <v/>
      </c>
      <c r="M21" s="7">
        <f>IF($A21="","",COUNTIFS(PERFORMANCE!$C$2:$C$1000,$A21,PERFORMANCE!$E$2:$E$1000,"DEWORM",PERFORMANCE!$B$2:$B$1000,$B$3))</f>
        <v/>
      </c>
      <c r="N21" s="29">
        <f>IF($A21="","",AVERAGEIFS(REPRODUCTION!$E$2:$E$1000,REPRODUCTION!$B$2:$B$1000,$A21,REPRODUCTION!$A$2:$A$1000,$B$3))</f>
        <v/>
      </c>
      <c r="O21" s="27">
        <f>IF($A21="","",AVERAGEIFS(PERFORMANCE!$F$2:$F$1000,PERFORMANCE!$C$2:$C$1000,$A21,PERFORMANCE!$E$2:$E$1000,"WEAN_WT",PERFORMANCE!$B$2:$B$1000,$B$3))</f>
        <v/>
      </c>
      <c r="P21" s="25">
        <f>IF($A21="","",AVERAGEIFS(PERFORMANCE!$F$2:$F$1000,PERFORMANCE!$C$2:$C$1000,$A21,PERFORMANCE!$E$2:$E$1000,"ADG",PERFORMANCE!$B$2:$B$1000,$B$3))</f>
        <v/>
      </c>
      <c r="Q21" s="27">
        <f>IF($A21="","",AVERAGEIFS(PERFORMANCE!$F$2:$F$1000,PERFORMANCE!$C$2:$C$1000,$A21,PERFORMANCE!$E$2:$E$1000,"SHEDDING",PERFORMANCE!$B$2:$B$1000,$B$3))</f>
        <v/>
      </c>
      <c r="R21" s="25">
        <f>IF($K21="","",IF(VLOOKUP($E21,PEN_STATS!$A$2:$V$10,4,FALSE)=0,0,-($K21-VLOOKUP($E21,PEN_STATS!$A$2:$V$10,3,FALSE))/VLOOKUP($E21,PEN_STATS!$A$2:$V$10,4,FALSE)))</f>
        <v/>
      </c>
      <c r="S21" s="25">
        <f>IF($L21="","",IF(VLOOKUP($E21,PEN_STATS!$A$2:$V$10,7,FALSE)=0,0,-($L21-VLOOKUP($E21,PEN_STATS!$A$2:$V$10,6,FALSE))/VLOOKUP($E21,PEN_STATS!$A$2:$V$10,7,FALSE)))</f>
        <v/>
      </c>
      <c r="T21" s="25">
        <f>IF($M21="","",IF(VLOOKUP($E21,PEN_STATS!$A$2:$V$10,10,FALSE)=0,0,-($M21-VLOOKUP($E21,PEN_STATS!$A$2:$V$10,9,FALSE))/VLOOKUP($E21,PEN_STATS!$A$2:$V$10,10,FALSE)))</f>
        <v/>
      </c>
      <c r="U21" s="25">
        <f>IF($N21="","",IF(VLOOKUP($E21,PEN_STATS!$A$2:$V$10,13,FALSE)=0,0,($N21-VLOOKUP($E21,PEN_STATS!$A$2:$V$10,12,FALSE))/VLOOKUP($E21,PEN_STATS!$A$2:$V$10,13,FALSE)))</f>
        <v/>
      </c>
      <c r="V21" s="25">
        <f>IF($O21="","",IF(VLOOKUP($E21,PEN_STATS!$A$2:$V$10,16,FALSE)=0,0,($O21-VLOOKUP($E21,PEN_STATS!$A$2:$V$10,15,FALSE))/VLOOKUP($E21,PEN_STATS!$A$2:$V$10,16,FALSE)))</f>
        <v/>
      </c>
      <c r="W21" s="25">
        <f>IF($P21="","",IF(VLOOKUP($E21,PEN_STATS!$A$2:$V$10,19,FALSE)=0,0,($P21-VLOOKUP($E21,PEN_STATS!$A$2:$V$10,18,FALSE))/VLOOKUP($E21,PEN_STATS!$A$2:$V$10,19,FALSE)))</f>
        <v/>
      </c>
      <c r="X21" s="25">
        <f>IF($Q21="","",IF(VLOOKUP($E21,PEN_STATS!$A$2:$V$10,22,FALSE)=0,0,($Q21-VLOOKUP($E21,PEN_STATS!$A$2:$V$10,21,FALSE))/VLOOKUP($E21,PEN_STATS!$A$2:$V$10,22,FALSE)))</f>
        <v/>
      </c>
      <c r="Y21" s="25">
        <f>IF($A21="","",'WEIGHTS_&amp;_RULES'!$B$12*$R21+'WEIGHTS_&amp;_RULES'!$B$13*$S21+'WEIGHTS_&amp;_RULES'!$B$14*$T21+'WEIGHTS_&amp;_RULES'!$B$15*$U21)</f>
        <v/>
      </c>
      <c r="Z21" s="25">
        <f>IF($A21="","",'WEIGHTS_&amp;_RULES'!$B$19*$V21+'WEIGHTS_&amp;_RULES'!$B$20*$W21)</f>
        <v/>
      </c>
      <c r="AA21" s="25">
        <f>IF($A21="","",'WEIGHTS_&amp;_RULES'!$B$24*$X21)</f>
        <v/>
      </c>
      <c r="AB21" s="25">
        <f>IF($A21="","",'WEIGHTS_&amp;_RULES'!$B$7*$Y21+'WEIGHTS_&amp;_RULES'!$B$8*$Z21+'WEIGHTS_&amp;_RULES'!$B$9*$AA21)</f>
        <v/>
      </c>
    </row>
    <row r="22">
      <c r="A22" s="9">
        <f>ANIMALS!A18</f>
        <v/>
      </c>
      <c r="B22" s="9">
        <f>ANIMALS!B18</f>
        <v/>
      </c>
      <c r="C22" s="9">
        <f>ANIMALS!D18</f>
        <v/>
      </c>
      <c r="D22" s="9">
        <f>ANIMALS!G18</f>
        <v/>
      </c>
      <c r="E22" s="9">
        <f>ANIMALS!H18</f>
        <v/>
      </c>
      <c r="F22" s="9">
        <f>ANIMALS!I18</f>
        <v/>
      </c>
      <c r="G22" s="9">
        <f>ANIMALS!O18</f>
        <v/>
      </c>
      <c r="H22" s="9">
        <f>ANIMALS!P18</f>
        <v/>
      </c>
      <c r="I22" s="9">
        <f>ANIMALS!Q18</f>
        <v/>
      </c>
      <c r="J22" s="9">
        <f>ANIMALS!R18</f>
        <v/>
      </c>
      <c r="K22" s="27">
        <f>IF($A22="","",AVERAGEIFS(PERFORMANCE!$F$2:$F$1000,PERFORMANCE!$C$2:$C$1000,$A22,PERFORMANCE!$E$2:$E$1000,"FAMACHA",PERFORMANCE!$B$2:$B$1000,$B$3))</f>
        <v/>
      </c>
      <c r="L22" s="7">
        <f>IF($A22="","",AVERAGEIFS(PERFORMANCE!$F$2:$F$1000,PERFORMANCE!$C$2:$C$1000,$A22,PERFORMANCE!$E$2:$E$1000,"FEC",PERFORMANCE!$B$2:$B$1000,$B$3))</f>
        <v/>
      </c>
      <c r="M22" s="7">
        <f>IF($A22="","",COUNTIFS(PERFORMANCE!$C$2:$C$1000,$A22,PERFORMANCE!$E$2:$E$1000,"DEWORM",PERFORMANCE!$B$2:$B$1000,$B$3))</f>
        <v/>
      </c>
      <c r="N22" s="29">
        <f>IF($A22="","",AVERAGEIFS(REPRODUCTION!$E$2:$E$1000,REPRODUCTION!$B$2:$B$1000,$A22,REPRODUCTION!$A$2:$A$1000,$B$3))</f>
        <v/>
      </c>
      <c r="O22" s="27">
        <f>IF($A22="","",AVERAGEIFS(PERFORMANCE!$F$2:$F$1000,PERFORMANCE!$C$2:$C$1000,$A22,PERFORMANCE!$E$2:$E$1000,"WEAN_WT",PERFORMANCE!$B$2:$B$1000,$B$3))</f>
        <v/>
      </c>
      <c r="P22" s="25">
        <f>IF($A22="","",AVERAGEIFS(PERFORMANCE!$F$2:$F$1000,PERFORMANCE!$C$2:$C$1000,$A22,PERFORMANCE!$E$2:$E$1000,"ADG",PERFORMANCE!$B$2:$B$1000,$B$3))</f>
        <v/>
      </c>
      <c r="Q22" s="27">
        <f>IF($A22="","",AVERAGEIFS(PERFORMANCE!$F$2:$F$1000,PERFORMANCE!$C$2:$C$1000,$A22,PERFORMANCE!$E$2:$E$1000,"SHEDDING",PERFORMANCE!$B$2:$B$1000,$B$3))</f>
        <v/>
      </c>
      <c r="R22" s="25">
        <f>IF($K22="","",IF(VLOOKUP($E22,PEN_STATS!$A$2:$V$10,4,FALSE)=0,0,-($K22-VLOOKUP($E22,PEN_STATS!$A$2:$V$10,3,FALSE))/VLOOKUP($E22,PEN_STATS!$A$2:$V$10,4,FALSE)))</f>
        <v/>
      </c>
      <c r="S22" s="25">
        <f>IF($L22="","",IF(VLOOKUP($E22,PEN_STATS!$A$2:$V$10,7,FALSE)=0,0,-($L22-VLOOKUP($E22,PEN_STATS!$A$2:$V$10,6,FALSE))/VLOOKUP($E22,PEN_STATS!$A$2:$V$10,7,FALSE)))</f>
        <v/>
      </c>
      <c r="T22" s="25">
        <f>IF($M22="","",IF(VLOOKUP($E22,PEN_STATS!$A$2:$V$10,10,FALSE)=0,0,-($M22-VLOOKUP($E22,PEN_STATS!$A$2:$V$10,9,FALSE))/VLOOKUP($E22,PEN_STATS!$A$2:$V$10,10,FALSE)))</f>
        <v/>
      </c>
      <c r="U22" s="25">
        <f>IF($N22="","",IF(VLOOKUP($E22,PEN_STATS!$A$2:$V$10,13,FALSE)=0,0,($N22-VLOOKUP($E22,PEN_STATS!$A$2:$V$10,12,FALSE))/VLOOKUP($E22,PEN_STATS!$A$2:$V$10,13,FALSE)))</f>
        <v/>
      </c>
      <c r="V22" s="25">
        <f>IF($O22="","",IF(VLOOKUP($E22,PEN_STATS!$A$2:$V$10,16,FALSE)=0,0,($O22-VLOOKUP($E22,PEN_STATS!$A$2:$V$10,15,FALSE))/VLOOKUP($E22,PEN_STATS!$A$2:$V$10,16,FALSE)))</f>
        <v/>
      </c>
      <c r="W22" s="25">
        <f>IF($P22="","",IF(VLOOKUP($E22,PEN_STATS!$A$2:$V$10,19,FALSE)=0,0,($P22-VLOOKUP($E22,PEN_STATS!$A$2:$V$10,18,FALSE))/VLOOKUP($E22,PEN_STATS!$A$2:$V$10,19,FALSE)))</f>
        <v/>
      </c>
      <c r="X22" s="25">
        <f>IF($Q22="","",IF(VLOOKUP($E22,PEN_STATS!$A$2:$V$10,22,FALSE)=0,0,($Q22-VLOOKUP($E22,PEN_STATS!$A$2:$V$10,21,FALSE))/VLOOKUP($E22,PEN_STATS!$A$2:$V$10,22,FALSE)))</f>
        <v/>
      </c>
      <c r="Y22" s="25">
        <f>IF($A22="","",'WEIGHTS_&amp;_RULES'!$B$12*$R22+'WEIGHTS_&amp;_RULES'!$B$13*$S22+'WEIGHTS_&amp;_RULES'!$B$14*$T22+'WEIGHTS_&amp;_RULES'!$B$15*$U22)</f>
        <v/>
      </c>
      <c r="Z22" s="25">
        <f>IF($A22="","",'WEIGHTS_&amp;_RULES'!$B$19*$V22+'WEIGHTS_&amp;_RULES'!$B$20*$W22)</f>
        <v/>
      </c>
      <c r="AA22" s="25">
        <f>IF($A22="","",'WEIGHTS_&amp;_RULES'!$B$24*$X22)</f>
        <v/>
      </c>
      <c r="AB22" s="25">
        <f>IF($A22="","",'WEIGHTS_&amp;_RULES'!$B$7*$Y22+'WEIGHTS_&amp;_RULES'!$B$8*$Z22+'WEIGHTS_&amp;_RULES'!$B$9*$AA22)</f>
        <v/>
      </c>
    </row>
    <row r="23">
      <c r="A23" s="9">
        <f>ANIMALS!A19</f>
        <v/>
      </c>
      <c r="B23" s="9">
        <f>ANIMALS!B19</f>
        <v/>
      </c>
      <c r="C23" s="9">
        <f>ANIMALS!D19</f>
        <v/>
      </c>
      <c r="D23" s="9">
        <f>ANIMALS!G19</f>
        <v/>
      </c>
      <c r="E23" s="9">
        <f>ANIMALS!H19</f>
        <v/>
      </c>
      <c r="F23" s="9">
        <f>ANIMALS!I19</f>
        <v/>
      </c>
      <c r="G23" s="9">
        <f>ANIMALS!O19</f>
        <v/>
      </c>
      <c r="H23" s="9">
        <f>ANIMALS!P19</f>
        <v/>
      </c>
      <c r="I23" s="9">
        <f>ANIMALS!Q19</f>
        <v/>
      </c>
      <c r="J23" s="9">
        <f>ANIMALS!R19</f>
        <v/>
      </c>
      <c r="K23" s="27">
        <f>IF($A23="","",AVERAGEIFS(PERFORMANCE!$F$2:$F$1000,PERFORMANCE!$C$2:$C$1000,$A23,PERFORMANCE!$E$2:$E$1000,"FAMACHA",PERFORMANCE!$B$2:$B$1000,$B$3))</f>
        <v/>
      </c>
      <c r="L23" s="7">
        <f>IF($A23="","",AVERAGEIFS(PERFORMANCE!$F$2:$F$1000,PERFORMANCE!$C$2:$C$1000,$A23,PERFORMANCE!$E$2:$E$1000,"FEC",PERFORMANCE!$B$2:$B$1000,$B$3))</f>
        <v/>
      </c>
      <c r="M23" s="7">
        <f>IF($A23="","",COUNTIFS(PERFORMANCE!$C$2:$C$1000,$A23,PERFORMANCE!$E$2:$E$1000,"DEWORM",PERFORMANCE!$B$2:$B$1000,$B$3))</f>
        <v/>
      </c>
      <c r="N23" s="29">
        <f>IF($A23="","",AVERAGEIFS(REPRODUCTION!$E$2:$E$1000,REPRODUCTION!$B$2:$B$1000,$A23,REPRODUCTION!$A$2:$A$1000,$B$3))</f>
        <v/>
      </c>
      <c r="O23" s="27">
        <f>IF($A23="","",AVERAGEIFS(PERFORMANCE!$F$2:$F$1000,PERFORMANCE!$C$2:$C$1000,$A23,PERFORMANCE!$E$2:$E$1000,"WEAN_WT",PERFORMANCE!$B$2:$B$1000,$B$3))</f>
        <v/>
      </c>
      <c r="P23" s="25">
        <f>IF($A23="","",AVERAGEIFS(PERFORMANCE!$F$2:$F$1000,PERFORMANCE!$C$2:$C$1000,$A23,PERFORMANCE!$E$2:$E$1000,"ADG",PERFORMANCE!$B$2:$B$1000,$B$3))</f>
        <v/>
      </c>
      <c r="Q23" s="27">
        <f>IF($A23="","",AVERAGEIFS(PERFORMANCE!$F$2:$F$1000,PERFORMANCE!$C$2:$C$1000,$A23,PERFORMANCE!$E$2:$E$1000,"SHEDDING",PERFORMANCE!$B$2:$B$1000,$B$3))</f>
        <v/>
      </c>
      <c r="R23" s="25">
        <f>IF($K23="","",IF(VLOOKUP($E23,PEN_STATS!$A$2:$V$10,4,FALSE)=0,0,-($K23-VLOOKUP($E23,PEN_STATS!$A$2:$V$10,3,FALSE))/VLOOKUP($E23,PEN_STATS!$A$2:$V$10,4,FALSE)))</f>
        <v/>
      </c>
      <c r="S23" s="25">
        <f>IF($L23="","",IF(VLOOKUP($E23,PEN_STATS!$A$2:$V$10,7,FALSE)=0,0,-($L23-VLOOKUP($E23,PEN_STATS!$A$2:$V$10,6,FALSE))/VLOOKUP($E23,PEN_STATS!$A$2:$V$10,7,FALSE)))</f>
        <v/>
      </c>
      <c r="T23" s="25">
        <f>IF($M23="","",IF(VLOOKUP($E23,PEN_STATS!$A$2:$V$10,10,FALSE)=0,0,-($M23-VLOOKUP($E23,PEN_STATS!$A$2:$V$10,9,FALSE))/VLOOKUP($E23,PEN_STATS!$A$2:$V$10,10,FALSE)))</f>
        <v/>
      </c>
      <c r="U23" s="25">
        <f>IF($N23="","",IF(VLOOKUP($E23,PEN_STATS!$A$2:$V$10,13,FALSE)=0,0,($N23-VLOOKUP($E23,PEN_STATS!$A$2:$V$10,12,FALSE))/VLOOKUP($E23,PEN_STATS!$A$2:$V$10,13,FALSE)))</f>
        <v/>
      </c>
      <c r="V23" s="25">
        <f>IF($O23="","",IF(VLOOKUP($E23,PEN_STATS!$A$2:$V$10,16,FALSE)=0,0,($O23-VLOOKUP($E23,PEN_STATS!$A$2:$V$10,15,FALSE))/VLOOKUP($E23,PEN_STATS!$A$2:$V$10,16,FALSE)))</f>
        <v/>
      </c>
      <c r="W23" s="25">
        <f>IF($P23="","",IF(VLOOKUP($E23,PEN_STATS!$A$2:$V$10,19,FALSE)=0,0,($P23-VLOOKUP($E23,PEN_STATS!$A$2:$V$10,18,FALSE))/VLOOKUP($E23,PEN_STATS!$A$2:$V$10,19,FALSE)))</f>
        <v/>
      </c>
      <c r="X23" s="25">
        <f>IF($Q23="","",IF(VLOOKUP($E23,PEN_STATS!$A$2:$V$10,22,FALSE)=0,0,($Q23-VLOOKUP($E23,PEN_STATS!$A$2:$V$10,21,FALSE))/VLOOKUP($E23,PEN_STATS!$A$2:$V$10,22,FALSE)))</f>
        <v/>
      </c>
      <c r="Y23" s="25">
        <f>IF($A23="","",'WEIGHTS_&amp;_RULES'!$B$12*$R23+'WEIGHTS_&amp;_RULES'!$B$13*$S23+'WEIGHTS_&amp;_RULES'!$B$14*$T23+'WEIGHTS_&amp;_RULES'!$B$15*$U23)</f>
        <v/>
      </c>
      <c r="Z23" s="25">
        <f>IF($A23="","",'WEIGHTS_&amp;_RULES'!$B$19*$V23+'WEIGHTS_&amp;_RULES'!$B$20*$W23)</f>
        <v/>
      </c>
      <c r="AA23" s="25">
        <f>IF($A23="","",'WEIGHTS_&amp;_RULES'!$B$24*$X23)</f>
        <v/>
      </c>
      <c r="AB23" s="25">
        <f>IF($A23="","",'WEIGHTS_&amp;_RULES'!$B$7*$Y23+'WEIGHTS_&amp;_RULES'!$B$8*$Z23+'WEIGHTS_&amp;_RULES'!$B$9*$AA23)</f>
        <v/>
      </c>
    </row>
    <row r="24">
      <c r="A24" s="9">
        <f>ANIMALS!A20</f>
        <v/>
      </c>
      <c r="B24" s="9">
        <f>ANIMALS!B20</f>
        <v/>
      </c>
      <c r="C24" s="9">
        <f>ANIMALS!D20</f>
        <v/>
      </c>
      <c r="D24" s="9">
        <f>ANIMALS!G20</f>
        <v/>
      </c>
      <c r="E24" s="9">
        <f>ANIMALS!H20</f>
        <v/>
      </c>
      <c r="F24" s="9">
        <f>ANIMALS!I20</f>
        <v/>
      </c>
      <c r="G24" s="9">
        <f>ANIMALS!O20</f>
        <v/>
      </c>
      <c r="H24" s="9">
        <f>ANIMALS!P20</f>
        <v/>
      </c>
      <c r="I24" s="9">
        <f>ANIMALS!Q20</f>
        <v/>
      </c>
      <c r="J24" s="9">
        <f>ANIMALS!R20</f>
        <v/>
      </c>
      <c r="K24" s="27">
        <f>IF($A24="","",AVERAGEIFS(PERFORMANCE!$F$2:$F$1000,PERFORMANCE!$C$2:$C$1000,$A24,PERFORMANCE!$E$2:$E$1000,"FAMACHA",PERFORMANCE!$B$2:$B$1000,$B$3))</f>
        <v/>
      </c>
      <c r="L24" s="7">
        <f>IF($A24="","",AVERAGEIFS(PERFORMANCE!$F$2:$F$1000,PERFORMANCE!$C$2:$C$1000,$A24,PERFORMANCE!$E$2:$E$1000,"FEC",PERFORMANCE!$B$2:$B$1000,$B$3))</f>
        <v/>
      </c>
      <c r="M24" s="7">
        <f>IF($A24="","",COUNTIFS(PERFORMANCE!$C$2:$C$1000,$A24,PERFORMANCE!$E$2:$E$1000,"DEWORM",PERFORMANCE!$B$2:$B$1000,$B$3))</f>
        <v/>
      </c>
      <c r="N24" s="29">
        <f>IF($A24="","",AVERAGEIFS(REPRODUCTION!$E$2:$E$1000,REPRODUCTION!$B$2:$B$1000,$A24,REPRODUCTION!$A$2:$A$1000,$B$3))</f>
        <v/>
      </c>
      <c r="O24" s="27">
        <f>IF($A24="","",AVERAGEIFS(PERFORMANCE!$F$2:$F$1000,PERFORMANCE!$C$2:$C$1000,$A24,PERFORMANCE!$E$2:$E$1000,"WEAN_WT",PERFORMANCE!$B$2:$B$1000,$B$3))</f>
        <v/>
      </c>
      <c r="P24" s="25">
        <f>IF($A24="","",AVERAGEIFS(PERFORMANCE!$F$2:$F$1000,PERFORMANCE!$C$2:$C$1000,$A24,PERFORMANCE!$E$2:$E$1000,"ADG",PERFORMANCE!$B$2:$B$1000,$B$3))</f>
        <v/>
      </c>
      <c r="Q24" s="27">
        <f>IF($A24="","",AVERAGEIFS(PERFORMANCE!$F$2:$F$1000,PERFORMANCE!$C$2:$C$1000,$A24,PERFORMANCE!$E$2:$E$1000,"SHEDDING",PERFORMANCE!$B$2:$B$1000,$B$3))</f>
        <v/>
      </c>
      <c r="R24" s="25">
        <f>IF($K24="","",IF(VLOOKUP($E24,PEN_STATS!$A$2:$V$10,4,FALSE)=0,0,-($K24-VLOOKUP($E24,PEN_STATS!$A$2:$V$10,3,FALSE))/VLOOKUP($E24,PEN_STATS!$A$2:$V$10,4,FALSE)))</f>
        <v/>
      </c>
      <c r="S24" s="25">
        <f>IF($L24="","",IF(VLOOKUP($E24,PEN_STATS!$A$2:$V$10,7,FALSE)=0,0,-($L24-VLOOKUP($E24,PEN_STATS!$A$2:$V$10,6,FALSE))/VLOOKUP($E24,PEN_STATS!$A$2:$V$10,7,FALSE)))</f>
        <v/>
      </c>
      <c r="T24" s="25">
        <f>IF($M24="","",IF(VLOOKUP($E24,PEN_STATS!$A$2:$V$10,10,FALSE)=0,0,-($M24-VLOOKUP($E24,PEN_STATS!$A$2:$V$10,9,FALSE))/VLOOKUP($E24,PEN_STATS!$A$2:$V$10,10,FALSE)))</f>
        <v/>
      </c>
      <c r="U24" s="25">
        <f>IF($N24="","",IF(VLOOKUP($E24,PEN_STATS!$A$2:$V$10,13,FALSE)=0,0,($N24-VLOOKUP($E24,PEN_STATS!$A$2:$V$10,12,FALSE))/VLOOKUP($E24,PEN_STATS!$A$2:$V$10,13,FALSE)))</f>
        <v/>
      </c>
      <c r="V24" s="25">
        <f>IF($O24="","",IF(VLOOKUP($E24,PEN_STATS!$A$2:$V$10,16,FALSE)=0,0,($O24-VLOOKUP($E24,PEN_STATS!$A$2:$V$10,15,FALSE))/VLOOKUP($E24,PEN_STATS!$A$2:$V$10,16,FALSE)))</f>
        <v/>
      </c>
      <c r="W24" s="25">
        <f>IF($P24="","",IF(VLOOKUP($E24,PEN_STATS!$A$2:$V$10,19,FALSE)=0,0,($P24-VLOOKUP($E24,PEN_STATS!$A$2:$V$10,18,FALSE))/VLOOKUP($E24,PEN_STATS!$A$2:$V$10,19,FALSE)))</f>
        <v/>
      </c>
      <c r="X24" s="25">
        <f>IF($Q24="","",IF(VLOOKUP($E24,PEN_STATS!$A$2:$V$10,22,FALSE)=0,0,($Q24-VLOOKUP($E24,PEN_STATS!$A$2:$V$10,21,FALSE))/VLOOKUP($E24,PEN_STATS!$A$2:$V$10,22,FALSE)))</f>
        <v/>
      </c>
      <c r="Y24" s="25">
        <f>IF($A24="","",'WEIGHTS_&amp;_RULES'!$B$12*$R24+'WEIGHTS_&amp;_RULES'!$B$13*$S24+'WEIGHTS_&amp;_RULES'!$B$14*$T24+'WEIGHTS_&amp;_RULES'!$B$15*$U24)</f>
        <v/>
      </c>
      <c r="Z24" s="25">
        <f>IF($A24="","",'WEIGHTS_&amp;_RULES'!$B$19*$V24+'WEIGHTS_&amp;_RULES'!$B$20*$W24)</f>
        <v/>
      </c>
      <c r="AA24" s="25">
        <f>IF($A24="","",'WEIGHTS_&amp;_RULES'!$B$24*$X24)</f>
        <v/>
      </c>
      <c r="AB24" s="25">
        <f>IF($A24="","",'WEIGHTS_&amp;_RULES'!$B$7*$Y24+'WEIGHTS_&amp;_RULES'!$B$8*$Z24+'WEIGHTS_&amp;_RULES'!$B$9*$AA24)</f>
        <v/>
      </c>
    </row>
    <row r="25">
      <c r="A25" s="9">
        <f>ANIMALS!A21</f>
        <v/>
      </c>
      <c r="B25" s="9">
        <f>ANIMALS!B21</f>
        <v/>
      </c>
      <c r="C25" s="9">
        <f>ANIMALS!D21</f>
        <v/>
      </c>
      <c r="D25" s="9">
        <f>ANIMALS!G21</f>
        <v/>
      </c>
      <c r="E25" s="9">
        <f>ANIMALS!H21</f>
        <v/>
      </c>
      <c r="F25" s="9">
        <f>ANIMALS!I21</f>
        <v/>
      </c>
      <c r="G25" s="9">
        <f>ANIMALS!O21</f>
        <v/>
      </c>
      <c r="H25" s="9">
        <f>ANIMALS!P21</f>
        <v/>
      </c>
      <c r="I25" s="9">
        <f>ANIMALS!Q21</f>
        <v/>
      </c>
      <c r="J25" s="9">
        <f>ANIMALS!R21</f>
        <v/>
      </c>
      <c r="K25" s="27">
        <f>IF($A25="","",AVERAGEIFS(PERFORMANCE!$F$2:$F$1000,PERFORMANCE!$C$2:$C$1000,$A25,PERFORMANCE!$E$2:$E$1000,"FAMACHA",PERFORMANCE!$B$2:$B$1000,$B$3))</f>
        <v/>
      </c>
      <c r="L25" s="7">
        <f>IF($A25="","",AVERAGEIFS(PERFORMANCE!$F$2:$F$1000,PERFORMANCE!$C$2:$C$1000,$A25,PERFORMANCE!$E$2:$E$1000,"FEC",PERFORMANCE!$B$2:$B$1000,$B$3))</f>
        <v/>
      </c>
      <c r="M25" s="7">
        <f>IF($A25="","",COUNTIFS(PERFORMANCE!$C$2:$C$1000,$A25,PERFORMANCE!$E$2:$E$1000,"DEWORM",PERFORMANCE!$B$2:$B$1000,$B$3))</f>
        <v/>
      </c>
      <c r="N25" s="29">
        <f>IF($A25="","",AVERAGEIFS(REPRODUCTION!$E$2:$E$1000,REPRODUCTION!$B$2:$B$1000,$A25,REPRODUCTION!$A$2:$A$1000,$B$3))</f>
        <v/>
      </c>
      <c r="O25" s="27">
        <f>IF($A25="","",AVERAGEIFS(PERFORMANCE!$F$2:$F$1000,PERFORMANCE!$C$2:$C$1000,$A25,PERFORMANCE!$E$2:$E$1000,"WEAN_WT",PERFORMANCE!$B$2:$B$1000,$B$3))</f>
        <v/>
      </c>
      <c r="P25" s="25">
        <f>IF($A25="","",AVERAGEIFS(PERFORMANCE!$F$2:$F$1000,PERFORMANCE!$C$2:$C$1000,$A25,PERFORMANCE!$E$2:$E$1000,"ADG",PERFORMANCE!$B$2:$B$1000,$B$3))</f>
        <v/>
      </c>
      <c r="Q25" s="27">
        <f>IF($A25="","",AVERAGEIFS(PERFORMANCE!$F$2:$F$1000,PERFORMANCE!$C$2:$C$1000,$A25,PERFORMANCE!$E$2:$E$1000,"SHEDDING",PERFORMANCE!$B$2:$B$1000,$B$3))</f>
        <v/>
      </c>
      <c r="R25" s="25">
        <f>IF($K25="","",IF(VLOOKUP($E25,PEN_STATS!$A$2:$V$10,4,FALSE)=0,0,-($K25-VLOOKUP($E25,PEN_STATS!$A$2:$V$10,3,FALSE))/VLOOKUP($E25,PEN_STATS!$A$2:$V$10,4,FALSE)))</f>
        <v/>
      </c>
      <c r="S25" s="25">
        <f>IF($L25="","",IF(VLOOKUP($E25,PEN_STATS!$A$2:$V$10,7,FALSE)=0,0,-($L25-VLOOKUP($E25,PEN_STATS!$A$2:$V$10,6,FALSE))/VLOOKUP($E25,PEN_STATS!$A$2:$V$10,7,FALSE)))</f>
        <v/>
      </c>
      <c r="T25" s="25">
        <f>IF($M25="","",IF(VLOOKUP($E25,PEN_STATS!$A$2:$V$10,10,FALSE)=0,0,-($M25-VLOOKUP($E25,PEN_STATS!$A$2:$V$10,9,FALSE))/VLOOKUP($E25,PEN_STATS!$A$2:$V$10,10,FALSE)))</f>
        <v/>
      </c>
      <c r="U25" s="25">
        <f>IF($N25="","",IF(VLOOKUP($E25,PEN_STATS!$A$2:$V$10,13,FALSE)=0,0,($N25-VLOOKUP($E25,PEN_STATS!$A$2:$V$10,12,FALSE))/VLOOKUP($E25,PEN_STATS!$A$2:$V$10,13,FALSE)))</f>
        <v/>
      </c>
      <c r="V25" s="25">
        <f>IF($O25="","",IF(VLOOKUP($E25,PEN_STATS!$A$2:$V$10,16,FALSE)=0,0,($O25-VLOOKUP($E25,PEN_STATS!$A$2:$V$10,15,FALSE))/VLOOKUP($E25,PEN_STATS!$A$2:$V$10,16,FALSE)))</f>
        <v/>
      </c>
      <c r="W25" s="25">
        <f>IF($P25="","",IF(VLOOKUP($E25,PEN_STATS!$A$2:$V$10,19,FALSE)=0,0,($P25-VLOOKUP($E25,PEN_STATS!$A$2:$V$10,18,FALSE))/VLOOKUP($E25,PEN_STATS!$A$2:$V$10,19,FALSE)))</f>
        <v/>
      </c>
      <c r="X25" s="25">
        <f>IF($Q25="","",IF(VLOOKUP($E25,PEN_STATS!$A$2:$V$10,22,FALSE)=0,0,($Q25-VLOOKUP($E25,PEN_STATS!$A$2:$V$10,21,FALSE))/VLOOKUP($E25,PEN_STATS!$A$2:$V$10,22,FALSE)))</f>
        <v/>
      </c>
      <c r="Y25" s="25">
        <f>IF($A25="","",'WEIGHTS_&amp;_RULES'!$B$12*$R25+'WEIGHTS_&amp;_RULES'!$B$13*$S25+'WEIGHTS_&amp;_RULES'!$B$14*$T25+'WEIGHTS_&amp;_RULES'!$B$15*$U25)</f>
        <v/>
      </c>
      <c r="Z25" s="25">
        <f>IF($A25="","",'WEIGHTS_&amp;_RULES'!$B$19*$V25+'WEIGHTS_&amp;_RULES'!$B$20*$W25)</f>
        <v/>
      </c>
      <c r="AA25" s="25">
        <f>IF($A25="","",'WEIGHTS_&amp;_RULES'!$B$24*$X25)</f>
        <v/>
      </c>
      <c r="AB25" s="25">
        <f>IF($A25="","",'WEIGHTS_&amp;_RULES'!$B$7*$Y25+'WEIGHTS_&amp;_RULES'!$B$8*$Z25+'WEIGHTS_&amp;_RULES'!$B$9*$AA25)</f>
        <v/>
      </c>
    </row>
    <row r="26">
      <c r="A26" s="9">
        <f>ANIMALS!A22</f>
        <v/>
      </c>
      <c r="B26" s="9">
        <f>ANIMALS!B22</f>
        <v/>
      </c>
      <c r="C26" s="9">
        <f>ANIMALS!D22</f>
        <v/>
      </c>
      <c r="D26" s="9">
        <f>ANIMALS!G22</f>
        <v/>
      </c>
      <c r="E26" s="9">
        <f>ANIMALS!H22</f>
        <v/>
      </c>
      <c r="F26" s="9">
        <f>ANIMALS!I22</f>
        <v/>
      </c>
      <c r="G26" s="9">
        <f>ANIMALS!O22</f>
        <v/>
      </c>
      <c r="H26" s="9">
        <f>ANIMALS!P22</f>
        <v/>
      </c>
      <c r="I26" s="9">
        <f>ANIMALS!Q22</f>
        <v/>
      </c>
      <c r="J26" s="9">
        <f>ANIMALS!R22</f>
        <v/>
      </c>
      <c r="K26" s="27">
        <f>IF($A26="","",AVERAGEIFS(PERFORMANCE!$F$2:$F$1000,PERFORMANCE!$C$2:$C$1000,$A26,PERFORMANCE!$E$2:$E$1000,"FAMACHA",PERFORMANCE!$B$2:$B$1000,$B$3))</f>
        <v/>
      </c>
      <c r="L26" s="7">
        <f>IF($A26="","",AVERAGEIFS(PERFORMANCE!$F$2:$F$1000,PERFORMANCE!$C$2:$C$1000,$A26,PERFORMANCE!$E$2:$E$1000,"FEC",PERFORMANCE!$B$2:$B$1000,$B$3))</f>
        <v/>
      </c>
      <c r="M26" s="7">
        <f>IF($A26="","",COUNTIFS(PERFORMANCE!$C$2:$C$1000,$A26,PERFORMANCE!$E$2:$E$1000,"DEWORM",PERFORMANCE!$B$2:$B$1000,$B$3))</f>
        <v/>
      </c>
      <c r="N26" s="29">
        <f>IF($A26="","",AVERAGEIFS(REPRODUCTION!$E$2:$E$1000,REPRODUCTION!$B$2:$B$1000,$A26,REPRODUCTION!$A$2:$A$1000,$B$3))</f>
        <v/>
      </c>
      <c r="O26" s="27">
        <f>IF($A26="","",AVERAGEIFS(PERFORMANCE!$F$2:$F$1000,PERFORMANCE!$C$2:$C$1000,$A26,PERFORMANCE!$E$2:$E$1000,"WEAN_WT",PERFORMANCE!$B$2:$B$1000,$B$3))</f>
        <v/>
      </c>
      <c r="P26" s="25">
        <f>IF($A26="","",AVERAGEIFS(PERFORMANCE!$F$2:$F$1000,PERFORMANCE!$C$2:$C$1000,$A26,PERFORMANCE!$E$2:$E$1000,"ADG",PERFORMANCE!$B$2:$B$1000,$B$3))</f>
        <v/>
      </c>
      <c r="Q26" s="27">
        <f>IF($A26="","",AVERAGEIFS(PERFORMANCE!$F$2:$F$1000,PERFORMANCE!$C$2:$C$1000,$A26,PERFORMANCE!$E$2:$E$1000,"SHEDDING",PERFORMANCE!$B$2:$B$1000,$B$3))</f>
        <v/>
      </c>
      <c r="R26" s="25">
        <f>IF($K26="","",IF(VLOOKUP($E26,PEN_STATS!$A$2:$V$10,4,FALSE)=0,0,-($K26-VLOOKUP($E26,PEN_STATS!$A$2:$V$10,3,FALSE))/VLOOKUP($E26,PEN_STATS!$A$2:$V$10,4,FALSE)))</f>
        <v/>
      </c>
      <c r="S26" s="25">
        <f>IF($L26="","",IF(VLOOKUP($E26,PEN_STATS!$A$2:$V$10,7,FALSE)=0,0,-($L26-VLOOKUP($E26,PEN_STATS!$A$2:$V$10,6,FALSE))/VLOOKUP($E26,PEN_STATS!$A$2:$V$10,7,FALSE)))</f>
        <v/>
      </c>
      <c r="T26" s="25">
        <f>IF($M26="","",IF(VLOOKUP($E26,PEN_STATS!$A$2:$V$10,10,FALSE)=0,0,-($M26-VLOOKUP($E26,PEN_STATS!$A$2:$V$10,9,FALSE))/VLOOKUP($E26,PEN_STATS!$A$2:$V$10,10,FALSE)))</f>
        <v/>
      </c>
      <c r="U26" s="25">
        <f>IF($N26="","",IF(VLOOKUP($E26,PEN_STATS!$A$2:$V$10,13,FALSE)=0,0,($N26-VLOOKUP($E26,PEN_STATS!$A$2:$V$10,12,FALSE))/VLOOKUP($E26,PEN_STATS!$A$2:$V$10,13,FALSE)))</f>
        <v/>
      </c>
      <c r="V26" s="25">
        <f>IF($O26="","",IF(VLOOKUP($E26,PEN_STATS!$A$2:$V$10,16,FALSE)=0,0,($O26-VLOOKUP($E26,PEN_STATS!$A$2:$V$10,15,FALSE))/VLOOKUP($E26,PEN_STATS!$A$2:$V$10,16,FALSE)))</f>
        <v/>
      </c>
      <c r="W26" s="25">
        <f>IF($P26="","",IF(VLOOKUP($E26,PEN_STATS!$A$2:$V$10,19,FALSE)=0,0,($P26-VLOOKUP($E26,PEN_STATS!$A$2:$V$10,18,FALSE))/VLOOKUP($E26,PEN_STATS!$A$2:$V$10,19,FALSE)))</f>
        <v/>
      </c>
      <c r="X26" s="25">
        <f>IF($Q26="","",IF(VLOOKUP($E26,PEN_STATS!$A$2:$V$10,22,FALSE)=0,0,($Q26-VLOOKUP($E26,PEN_STATS!$A$2:$V$10,21,FALSE))/VLOOKUP($E26,PEN_STATS!$A$2:$V$10,22,FALSE)))</f>
        <v/>
      </c>
      <c r="Y26" s="25">
        <f>IF($A26="","",'WEIGHTS_&amp;_RULES'!$B$12*$R26+'WEIGHTS_&amp;_RULES'!$B$13*$S26+'WEIGHTS_&amp;_RULES'!$B$14*$T26+'WEIGHTS_&amp;_RULES'!$B$15*$U26)</f>
        <v/>
      </c>
      <c r="Z26" s="25">
        <f>IF($A26="","",'WEIGHTS_&amp;_RULES'!$B$19*$V26+'WEIGHTS_&amp;_RULES'!$B$20*$W26)</f>
        <v/>
      </c>
      <c r="AA26" s="25">
        <f>IF($A26="","",'WEIGHTS_&amp;_RULES'!$B$24*$X26)</f>
        <v/>
      </c>
      <c r="AB26" s="25">
        <f>IF($A26="","",'WEIGHTS_&amp;_RULES'!$B$7*$Y26+'WEIGHTS_&amp;_RULES'!$B$8*$Z26+'WEIGHTS_&amp;_RULES'!$B$9*$AA26)</f>
        <v/>
      </c>
    </row>
    <row r="27">
      <c r="A27" s="9">
        <f>ANIMALS!A23</f>
        <v/>
      </c>
      <c r="B27" s="9">
        <f>ANIMALS!B23</f>
        <v/>
      </c>
      <c r="C27" s="9">
        <f>ANIMALS!D23</f>
        <v/>
      </c>
      <c r="D27" s="9">
        <f>ANIMALS!G23</f>
        <v/>
      </c>
      <c r="E27" s="9">
        <f>ANIMALS!H23</f>
        <v/>
      </c>
      <c r="F27" s="9">
        <f>ANIMALS!I23</f>
        <v/>
      </c>
      <c r="G27" s="9">
        <f>ANIMALS!O23</f>
        <v/>
      </c>
      <c r="H27" s="9">
        <f>ANIMALS!P23</f>
        <v/>
      </c>
      <c r="I27" s="9">
        <f>ANIMALS!Q23</f>
        <v/>
      </c>
      <c r="J27" s="9">
        <f>ANIMALS!R23</f>
        <v/>
      </c>
      <c r="K27" s="27">
        <f>IF($A27="","",AVERAGEIFS(PERFORMANCE!$F$2:$F$1000,PERFORMANCE!$C$2:$C$1000,$A27,PERFORMANCE!$E$2:$E$1000,"FAMACHA",PERFORMANCE!$B$2:$B$1000,$B$3))</f>
        <v/>
      </c>
      <c r="L27" s="7">
        <f>IF($A27="","",AVERAGEIFS(PERFORMANCE!$F$2:$F$1000,PERFORMANCE!$C$2:$C$1000,$A27,PERFORMANCE!$E$2:$E$1000,"FEC",PERFORMANCE!$B$2:$B$1000,$B$3))</f>
        <v/>
      </c>
      <c r="M27" s="7">
        <f>IF($A27="","",COUNTIFS(PERFORMANCE!$C$2:$C$1000,$A27,PERFORMANCE!$E$2:$E$1000,"DEWORM",PERFORMANCE!$B$2:$B$1000,$B$3))</f>
        <v/>
      </c>
      <c r="N27" s="29">
        <f>IF($A27="","",AVERAGEIFS(REPRODUCTION!$E$2:$E$1000,REPRODUCTION!$B$2:$B$1000,$A27,REPRODUCTION!$A$2:$A$1000,$B$3))</f>
        <v/>
      </c>
      <c r="O27" s="27">
        <f>IF($A27="","",AVERAGEIFS(PERFORMANCE!$F$2:$F$1000,PERFORMANCE!$C$2:$C$1000,$A27,PERFORMANCE!$E$2:$E$1000,"WEAN_WT",PERFORMANCE!$B$2:$B$1000,$B$3))</f>
        <v/>
      </c>
      <c r="P27" s="25">
        <f>IF($A27="","",AVERAGEIFS(PERFORMANCE!$F$2:$F$1000,PERFORMANCE!$C$2:$C$1000,$A27,PERFORMANCE!$E$2:$E$1000,"ADG",PERFORMANCE!$B$2:$B$1000,$B$3))</f>
        <v/>
      </c>
      <c r="Q27" s="27">
        <f>IF($A27="","",AVERAGEIFS(PERFORMANCE!$F$2:$F$1000,PERFORMANCE!$C$2:$C$1000,$A27,PERFORMANCE!$E$2:$E$1000,"SHEDDING",PERFORMANCE!$B$2:$B$1000,$B$3))</f>
        <v/>
      </c>
      <c r="R27" s="25">
        <f>IF($K27="","",IF(VLOOKUP($E27,PEN_STATS!$A$2:$V$10,4,FALSE)=0,0,-($K27-VLOOKUP($E27,PEN_STATS!$A$2:$V$10,3,FALSE))/VLOOKUP($E27,PEN_STATS!$A$2:$V$10,4,FALSE)))</f>
        <v/>
      </c>
      <c r="S27" s="25">
        <f>IF($L27="","",IF(VLOOKUP($E27,PEN_STATS!$A$2:$V$10,7,FALSE)=0,0,-($L27-VLOOKUP($E27,PEN_STATS!$A$2:$V$10,6,FALSE))/VLOOKUP($E27,PEN_STATS!$A$2:$V$10,7,FALSE)))</f>
        <v/>
      </c>
      <c r="T27" s="25">
        <f>IF($M27="","",IF(VLOOKUP($E27,PEN_STATS!$A$2:$V$10,10,FALSE)=0,0,-($M27-VLOOKUP($E27,PEN_STATS!$A$2:$V$10,9,FALSE))/VLOOKUP($E27,PEN_STATS!$A$2:$V$10,10,FALSE)))</f>
        <v/>
      </c>
      <c r="U27" s="25">
        <f>IF($N27="","",IF(VLOOKUP($E27,PEN_STATS!$A$2:$V$10,13,FALSE)=0,0,($N27-VLOOKUP($E27,PEN_STATS!$A$2:$V$10,12,FALSE))/VLOOKUP($E27,PEN_STATS!$A$2:$V$10,13,FALSE)))</f>
        <v/>
      </c>
      <c r="V27" s="25">
        <f>IF($O27="","",IF(VLOOKUP($E27,PEN_STATS!$A$2:$V$10,16,FALSE)=0,0,($O27-VLOOKUP($E27,PEN_STATS!$A$2:$V$10,15,FALSE))/VLOOKUP($E27,PEN_STATS!$A$2:$V$10,16,FALSE)))</f>
        <v/>
      </c>
      <c r="W27" s="25">
        <f>IF($P27="","",IF(VLOOKUP($E27,PEN_STATS!$A$2:$V$10,19,FALSE)=0,0,($P27-VLOOKUP($E27,PEN_STATS!$A$2:$V$10,18,FALSE))/VLOOKUP($E27,PEN_STATS!$A$2:$V$10,19,FALSE)))</f>
        <v/>
      </c>
      <c r="X27" s="25">
        <f>IF($Q27="","",IF(VLOOKUP($E27,PEN_STATS!$A$2:$V$10,22,FALSE)=0,0,($Q27-VLOOKUP($E27,PEN_STATS!$A$2:$V$10,21,FALSE))/VLOOKUP($E27,PEN_STATS!$A$2:$V$10,22,FALSE)))</f>
        <v/>
      </c>
      <c r="Y27" s="25">
        <f>IF($A27="","",'WEIGHTS_&amp;_RULES'!$B$12*$R27+'WEIGHTS_&amp;_RULES'!$B$13*$S27+'WEIGHTS_&amp;_RULES'!$B$14*$T27+'WEIGHTS_&amp;_RULES'!$B$15*$U27)</f>
        <v/>
      </c>
      <c r="Z27" s="25">
        <f>IF($A27="","",'WEIGHTS_&amp;_RULES'!$B$19*$V27+'WEIGHTS_&amp;_RULES'!$B$20*$W27)</f>
        <v/>
      </c>
      <c r="AA27" s="25">
        <f>IF($A27="","",'WEIGHTS_&amp;_RULES'!$B$24*$X27)</f>
        <v/>
      </c>
      <c r="AB27" s="25">
        <f>IF($A27="","",'WEIGHTS_&amp;_RULES'!$B$7*$Y27+'WEIGHTS_&amp;_RULES'!$B$8*$Z27+'WEIGHTS_&amp;_RULES'!$B$9*$AA27)</f>
        <v/>
      </c>
    </row>
    <row r="28">
      <c r="A28" s="9">
        <f>ANIMALS!A24</f>
        <v/>
      </c>
      <c r="B28" s="9">
        <f>ANIMALS!B24</f>
        <v/>
      </c>
      <c r="C28" s="9">
        <f>ANIMALS!D24</f>
        <v/>
      </c>
      <c r="D28" s="9">
        <f>ANIMALS!G24</f>
        <v/>
      </c>
      <c r="E28" s="9">
        <f>ANIMALS!H24</f>
        <v/>
      </c>
      <c r="F28" s="9">
        <f>ANIMALS!I24</f>
        <v/>
      </c>
      <c r="G28" s="9">
        <f>ANIMALS!O24</f>
        <v/>
      </c>
      <c r="H28" s="9">
        <f>ANIMALS!P24</f>
        <v/>
      </c>
      <c r="I28" s="9">
        <f>ANIMALS!Q24</f>
        <v/>
      </c>
      <c r="J28" s="9">
        <f>ANIMALS!R24</f>
        <v/>
      </c>
      <c r="K28" s="27">
        <f>IF($A28="","",AVERAGEIFS(PERFORMANCE!$F$2:$F$1000,PERFORMANCE!$C$2:$C$1000,$A28,PERFORMANCE!$E$2:$E$1000,"FAMACHA",PERFORMANCE!$B$2:$B$1000,$B$3))</f>
        <v/>
      </c>
      <c r="L28" s="7">
        <f>IF($A28="","",AVERAGEIFS(PERFORMANCE!$F$2:$F$1000,PERFORMANCE!$C$2:$C$1000,$A28,PERFORMANCE!$E$2:$E$1000,"FEC",PERFORMANCE!$B$2:$B$1000,$B$3))</f>
        <v/>
      </c>
      <c r="M28" s="7">
        <f>IF($A28="","",COUNTIFS(PERFORMANCE!$C$2:$C$1000,$A28,PERFORMANCE!$E$2:$E$1000,"DEWORM",PERFORMANCE!$B$2:$B$1000,$B$3))</f>
        <v/>
      </c>
      <c r="N28" s="29">
        <f>IF($A28="","",AVERAGEIFS(REPRODUCTION!$E$2:$E$1000,REPRODUCTION!$B$2:$B$1000,$A28,REPRODUCTION!$A$2:$A$1000,$B$3))</f>
        <v/>
      </c>
      <c r="O28" s="27">
        <f>IF($A28="","",AVERAGEIFS(PERFORMANCE!$F$2:$F$1000,PERFORMANCE!$C$2:$C$1000,$A28,PERFORMANCE!$E$2:$E$1000,"WEAN_WT",PERFORMANCE!$B$2:$B$1000,$B$3))</f>
        <v/>
      </c>
      <c r="P28" s="25">
        <f>IF($A28="","",AVERAGEIFS(PERFORMANCE!$F$2:$F$1000,PERFORMANCE!$C$2:$C$1000,$A28,PERFORMANCE!$E$2:$E$1000,"ADG",PERFORMANCE!$B$2:$B$1000,$B$3))</f>
        <v/>
      </c>
      <c r="Q28" s="27">
        <f>IF($A28="","",AVERAGEIFS(PERFORMANCE!$F$2:$F$1000,PERFORMANCE!$C$2:$C$1000,$A28,PERFORMANCE!$E$2:$E$1000,"SHEDDING",PERFORMANCE!$B$2:$B$1000,$B$3))</f>
        <v/>
      </c>
      <c r="R28" s="25">
        <f>IF($K28="","",IF(VLOOKUP($E28,PEN_STATS!$A$2:$V$10,4,FALSE)=0,0,-($K28-VLOOKUP($E28,PEN_STATS!$A$2:$V$10,3,FALSE))/VLOOKUP($E28,PEN_STATS!$A$2:$V$10,4,FALSE)))</f>
        <v/>
      </c>
      <c r="S28" s="25">
        <f>IF($L28="","",IF(VLOOKUP($E28,PEN_STATS!$A$2:$V$10,7,FALSE)=0,0,-($L28-VLOOKUP($E28,PEN_STATS!$A$2:$V$10,6,FALSE))/VLOOKUP($E28,PEN_STATS!$A$2:$V$10,7,FALSE)))</f>
        <v/>
      </c>
      <c r="T28" s="25">
        <f>IF($M28="","",IF(VLOOKUP($E28,PEN_STATS!$A$2:$V$10,10,FALSE)=0,0,-($M28-VLOOKUP($E28,PEN_STATS!$A$2:$V$10,9,FALSE))/VLOOKUP($E28,PEN_STATS!$A$2:$V$10,10,FALSE)))</f>
        <v/>
      </c>
      <c r="U28" s="25">
        <f>IF($N28="","",IF(VLOOKUP($E28,PEN_STATS!$A$2:$V$10,13,FALSE)=0,0,($N28-VLOOKUP($E28,PEN_STATS!$A$2:$V$10,12,FALSE))/VLOOKUP($E28,PEN_STATS!$A$2:$V$10,13,FALSE)))</f>
        <v/>
      </c>
      <c r="V28" s="25">
        <f>IF($O28="","",IF(VLOOKUP($E28,PEN_STATS!$A$2:$V$10,16,FALSE)=0,0,($O28-VLOOKUP($E28,PEN_STATS!$A$2:$V$10,15,FALSE))/VLOOKUP($E28,PEN_STATS!$A$2:$V$10,16,FALSE)))</f>
        <v/>
      </c>
      <c r="W28" s="25">
        <f>IF($P28="","",IF(VLOOKUP($E28,PEN_STATS!$A$2:$V$10,19,FALSE)=0,0,($P28-VLOOKUP($E28,PEN_STATS!$A$2:$V$10,18,FALSE))/VLOOKUP($E28,PEN_STATS!$A$2:$V$10,19,FALSE)))</f>
        <v/>
      </c>
      <c r="X28" s="25">
        <f>IF($Q28="","",IF(VLOOKUP($E28,PEN_STATS!$A$2:$V$10,22,FALSE)=0,0,($Q28-VLOOKUP($E28,PEN_STATS!$A$2:$V$10,21,FALSE))/VLOOKUP($E28,PEN_STATS!$A$2:$V$10,22,FALSE)))</f>
        <v/>
      </c>
      <c r="Y28" s="25">
        <f>IF($A28="","",'WEIGHTS_&amp;_RULES'!$B$12*$R28+'WEIGHTS_&amp;_RULES'!$B$13*$S28+'WEIGHTS_&amp;_RULES'!$B$14*$T28+'WEIGHTS_&amp;_RULES'!$B$15*$U28)</f>
        <v/>
      </c>
      <c r="Z28" s="25">
        <f>IF($A28="","",'WEIGHTS_&amp;_RULES'!$B$19*$V28+'WEIGHTS_&amp;_RULES'!$B$20*$W28)</f>
        <v/>
      </c>
      <c r="AA28" s="25">
        <f>IF($A28="","",'WEIGHTS_&amp;_RULES'!$B$24*$X28)</f>
        <v/>
      </c>
      <c r="AB28" s="25">
        <f>IF($A28="","",'WEIGHTS_&amp;_RULES'!$B$7*$Y28+'WEIGHTS_&amp;_RULES'!$B$8*$Z28+'WEIGHTS_&amp;_RULES'!$B$9*$AA28)</f>
        <v/>
      </c>
    </row>
    <row r="29">
      <c r="A29" s="9">
        <f>ANIMALS!A25</f>
        <v/>
      </c>
      <c r="B29" s="9">
        <f>ANIMALS!B25</f>
        <v/>
      </c>
      <c r="C29" s="9">
        <f>ANIMALS!D25</f>
        <v/>
      </c>
      <c r="D29" s="9">
        <f>ANIMALS!G25</f>
        <v/>
      </c>
      <c r="E29" s="9">
        <f>ANIMALS!H25</f>
        <v/>
      </c>
      <c r="F29" s="9">
        <f>ANIMALS!I25</f>
        <v/>
      </c>
      <c r="G29" s="9">
        <f>ANIMALS!O25</f>
        <v/>
      </c>
      <c r="H29" s="9">
        <f>ANIMALS!P25</f>
        <v/>
      </c>
      <c r="I29" s="9">
        <f>ANIMALS!Q25</f>
        <v/>
      </c>
      <c r="J29" s="9">
        <f>ANIMALS!R25</f>
        <v/>
      </c>
      <c r="K29" s="27">
        <f>IF($A29="","",AVERAGEIFS(PERFORMANCE!$F$2:$F$1000,PERFORMANCE!$C$2:$C$1000,$A29,PERFORMANCE!$E$2:$E$1000,"FAMACHA",PERFORMANCE!$B$2:$B$1000,$B$3))</f>
        <v/>
      </c>
      <c r="L29" s="7">
        <f>IF($A29="","",AVERAGEIFS(PERFORMANCE!$F$2:$F$1000,PERFORMANCE!$C$2:$C$1000,$A29,PERFORMANCE!$E$2:$E$1000,"FEC",PERFORMANCE!$B$2:$B$1000,$B$3))</f>
        <v/>
      </c>
      <c r="M29" s="7">
        <f>IF($A29="","",COUNTIFS(PERFORMANCE!$C$2:$C$1000,$A29,PERFORMANCE!$E$2:$E$1000,"DEWORM",PERFORMANCE!$B$2:$B$1000,$B$3))</f>
        <v/>
      </c>
      <c r="N29" s="29">
        <f>IF($A29="","",AVERAGEIFS(REPRODUCTION!$E$2:$E$1000,REPRODUCTION!$B$2:$B$1000,$A29,REPRODUCTION!$A$2:$A$1000,$B$3))</f>
        <v/>
      </c>
      <c r="O29" s="27">
        <f>IF($A29="","",AVERAGEIFS(PERFORMANCE!$F$2:$F$1000,PERFORMANCE!$C$2:$C$1000,$A29,PERFORMANCE!$E$2:$E$1000,"WEAN_WT",PERFORMANCE!$B$2:$B$1000,$B$3))</f>
        <v/>
      </c>
      <c r="P29" s="25">
        <f>IF($A29="","",AVERAGEIFS(PERFORMANCE!$F$2:$F$1000,PERFORMANCE!$C$2:$C$1000,$A29,PERFORMANCE!$E$2:$E$1000,"ADG",PERFORMANCE!$B$2:$B$1000,$B$3))</f>
        <v/>
      </c>
      <c r="Q29" s="27">
        <f>IF($A29="","",AVERAGEIFS(PERFORMANCE!$F$2:$F$1000,PERFORMANCE!$C$2:$C$1000,$A29,PERFORMANCE!$E$2:$E$1000,"SHEDDING",PERFORMANCE!$B$2:$B$1000,$B$3))</f>
        <v/>
      </c>
      <c r="R29" s="25">
        <f>IF($K29="","",IF(VLOOKUP($E29,PEN_STATS!$A$2:$V$10,4,FALSE)=0,0,-($K29-VLOOKUP($E29,PEN_STATS!$A$2:$V$10,3,FALSE))/VLOOKUP($E29,PEN_STATS!$A$2:$V$10,4,FALSE)))</f>
        <v/>
      </c>
      <c r="S29" s="25">
        <f>IF($L29="","",IF(VLOOKUP($E29,PEN_STATS!$A$2:$V$10,7,FALSE)=0,0,-($L29-VLOOKUP($E29,PEN_STATS!$A$2:$V$10,6,FALSE))/VLOOKUP($E29,PEN_STATS!$A$2:$V$10,7,FALSE)))</f>
        <v/>
      </c>
      <c r="T29" s="25">
        <f>IF($M29="","",IF(VLOOKUP($E29,PEN_STATS!$A$2:$V$10,10,FALSE)=0,0,-($M29-VLOOKUP($E29,PEN_STATS!$A$2:$V$10,9,FALSE))/VLOOKUP($E29,PEN_STATS!$A$2:$V$10,10,FALSE)))</f>
        <v/>
      </c>
      <c r="U29" s="25">
        <f>IF($N29="","",IF(VLOOKUP($E29,PEN_STATS!$A$2:$V$10,13,FALSE)=0,0,($N29-VLOOKUP($E29,PEN_STATS!$A$2:$V$10,12,FALSE))/VLOOKUP($E29,PEN_STATS!$A$2:$V$10,13,FALSE)))</f>
        <v/>
      </c>
      <c r="V29" s="25">
        <f>IF($O29="","",IF(VLOOKUP($E29,PEN_STATS!$A$2:$V$10,16,FALSE)=0,0,($O29-VLOOKUP($E29,PEN_STATS!$A$2:$V$10,15,FALSE))/VLOOKUP($E29,PEN_STATS!$A$2:$V$10,16,FALSE)))</f>
        <v/>
      </c>
      <c r="W29" s="25">
        <f>IF($P29="","",IF(VLOOKUP($E29,PEN_STATS!$A$2:$V$10,19,FALSE)=0,0,($P29-VLOOKUP($E29,PEN_STATS!$A$2:$V$10,18,FALSE))/VLOOKUP($E29,PEN_STATS!$A$2:$V$10,19,FALSE)))</f>
        <v/>
      </c>
      <c r="X29" s="25">
        <f>IF($Q29="","",IF(VLOOKUP($E29,PEN_STATS!$A$2:$V$10,22,FALSE)=0,0,($Q29-VLOOKUP($E29,PEN_STATS!$A$2:$V$10,21,FALSE))/VLOOKUP($E29,PEN_STATS!$A$2:$V$10,22,FALSE)))</f>
        <v/>
      </c>
      <c r="Y29" s="25">
        <f>IF($A29="","",'WEIGHTS_&amp;_RULES'!$B$12*$R29+'WEIGHTS_&amp;_RULES'!$B$13*$S29+'WEIGHTS_&amp;_RULES'!$B$14*$T29+'WEIGHTS_&amp;_RULES'!$B$15*$U29)</f>
        <v/>
      </c>
      <c r="Z29" s="25">
        <f>IF($A29="","",'WEIGHTS_&amp;_RULES'!$B$19*$V29+'WEIGHTS_&amp;_RULES'!$B$20*$W29)</f>
        <v/>
      </c>
      <c r="AA29" s="25">
        <f>IF($A29="","",'WEIGHTS_&amp;_RULES'!$B$24*$X29)</f>
        <v/>
      </c>
      <c r="AB29" s="25">
        <f>IF($A29="","",'WEIGHTS_&amp;_RULES'!$B$7*$Y29+'WEIGHTS_&amp;_RULES'!$B$8*$Z29+'WEIGHTS_&amp;_RULES'!$B$9*$AA29)</f>
        <v/>
      </c>
    </row>
    <row r="30">
      <c r="A30" s="9">
        <f>ANIMALS!A26</f>
        <v/>
      </c>
      <c r="B30" s="9">
        <f>ANIMALS!B26</f>
        <v/>
      </c>
      <c r="C30" s="9">
        <f>ANIMALS!D26</f>
        <v/>
      </c>
      <c r="D30" s="9">
        <f>ANIMALS!G26</f>
        <v/>
      </c>
      <c r="E30" s="9">
        <f>ANIMALS!H26</f>
        <v/>
      </c>
      <c r="F30" s="9">
        <f>ANIMALS!I26</f>
        <v/>
      </c>
      <c r="G30" s="9">
        <f>ANIMALS!O26</f>
        <v/>
      </c>
      <c r="H30" s="9">
        <f>ANIMALS!P26</f>
        <v/>
      </c>
      <c r="I30" s="9">
        <f>ANIMALS!Q26</f>
        <v/>
      </c>
      <c r="J30" s="9">
        <f>ANIMALS!R26</f>
        <v/>
      </c>
      <c r="K30" s="27">
        <f>IF($A30="","",AVERAGEIFS(PERFORMANCE!$F$2:$F$1000,PERFORMANCE!$C$2:$C$1000,$A30,PERFORMANCE!$E$2:$E$1000,"FAMACHA",PERFORMANCE!$B$2:$B$1000,$B$3))</f>
        <v/>
      </c>
      <c r="L30" s="7">
        <f>IF($A30="","",AVERAGEIFS(PERFORMANCE!$F$2:$F$1000,PERFORMANCE!$C$2:$C$1000,$A30,PERFORMANCE!$E$2:$E$1000,"FEC",PERFORMANCE!$B$2:$B$1000,$B$3))</f>
        <v/>
      </c>
      <c r="M30" s="7">
        <f>IF($A30="","",COUNTIFS(PERFORMANCE!$C$2:$C$1000,$A30,PERFORMANCE!$E$2:$E$1000,"DEWORM",PERFORMANCE!$B$2:$B$1000,$B$3))</f>
        <v/>
      </c>
      <c r="N30" s="29">
        <f>IF($A30="","",AVERAGEIFS(REPRODUCTION!$E$2:$E$1000,REPRODUCTION!$B$2:$B$1000,$A30,REPRODUCTION!$A$2:$A$1000,$B$3))</f>
        <v/>
      </c>
      <c r="O30" s="27">
        <f>IF($A30="","",AVERAGEIFS(PERFORMANCE!$F$2:$F$1000,PERFORMANCE!$C$2:$C$1000,$A30,PERFORMANCE!$E$2:$E$1000,"WEAN_WT",PERFORMANCE!$B$2:$B$1000,$B$3))</f>
        <v/>
      </c>
      <c r="P30" s="25">
        <f>IF($A30="","",AVERAGEIFS(PERFORMANCE!$F$2:$F$1000,PERFORMANCE!$C$2:$C$1000,$A30,PERFORMANCE!$E$2:$E$1000,"ADG",PERFORMANCE!$B$2:$B$1000,$B$3))</f>
        <v/>
      </c>
      <c r="Q30" s="27">
        <f>IF($A30="","",AVERAGEIFS(PERFORMANCE!$F$2:$F$1000,PERFORMANCE!$C$2:$C$1000,$A30,PERFORMANCE!$E$2:$E$1000,"SHEDDING",PERFORMANCE!$B$2:$B$1000,$B$3))</f>
        <v/>
      </c>
      <c r="R30" s="25">
        <f>IF($K30="","",IF(VLOOKUP($E30,PEN_STATS!$A$2:$V$10,4,FALSE)=0,0,-($K30-VLOOKUP($E30,PEN_STATS!$A$2:$V$10,3,FALSE))/VLOOKUP($E30,PEN_STATS!$A$2:$V$10,4,FALSE)))</f>
        <v/>
      </c>
      <c r="S30" s="25">
        <f>IF($L30="","",IF(VLOOKUP($E30,PEN_STATS!$A$2:$V$10,7,FALSE)=0,0,-($L30-VLOOKUP($E30,PEN_STATS!$A$2:$V$10,6,FALSE))/VLOOKUP($E30,PEN_STATS!$A$2:$V$10,7,FALSE)))</f>
        <v/>
      </c>
      <c r="T30" s="25">
        <f>IF($M30="","",IF(VLOOKUP($E30,PEN_STATS!$A$2:$V$10,10,FALSE)=0,0,-($M30-VLOOKUP($E30,PEN_STATS!$A$2:$V$10,9,FALSE))/VLOOKUP($E30,PEN_STATS!$A$2:$V$10,10,FALSE)))</f>
        <v/>
      </c>
      <c r="U30" s="25">
        <f>IF($N30="","",IF(VLOOKUP($E30,PEN_STATS!$A$2:$V$10,13,FALSE)=0,0,($N30-VLOOKUP($E30,PEN_STATS!$A$2:$V$10,12,FALSE))/VLOOKUP($E30,PEN_STATS!$A$2:$V$10,13,FALSE)))</f>
        <v/>
      </c>
      <c r="V30" s="25">
        <f>IF($O30="","",IF(VLOOKUP($E30,PEN_STATS!$A$2:$V$10,16,FALSE)=0,0,($O30-VLOOKUP($E30,PEN_STATS!$A$2:$V$10,15,FALSE))/VLOOKUP($E30,PEN_STATS!$A$2:$V$10,16,FALSE)))</f>
        <v/>
      </c>
      <c r="W30" s="25">
        <f>IF($P30="","",IF(VLOOKUP($E30,PEN_STATS!$A$2:$V$10,19,FALSE)=0,0,($P30-VLOOKUP($E30,PEN_STATS!$A$2:$V$10,18,FALSE))/VLOOKUP($E30,PEN_STATS!$A$2:$V$10,19,FALSE)))</f>
        <v/>
      </c>
      <c r="X30" s="25">
        <f>IF($Q30="","",IF(VLOOKUP($E30,PEN_STATS!$A$2:$V$10,22,FALSE)=0,0,($Q30-VLOOKUP($E30,PEN_STATS!$A$2:$V$10,21,FALSE))/VLOOKUP($E30,PEN_STATS!$A$2:$V$10,22,FALSE)))</f>
        <v/>
      </c>
      <c r="Y30" s="25">
        <f>IF($A30="","",'WEIGHTS_&amp;_RULES'!$B$12*$R30+'WEIGHTS_&amp;_RULES'!$B$13*$S30+'WEIGHTS_&amp;_RULES'!$B$14*$T30+'WEIGHTS_&amp;_RULES'!$B$15*$U30)</f>
        <v/>
      </c>
      <c r="Z30" s="25">
        <f>IF($A30="","",'WEIGHTS_&amp;_RULES'!$B$19*$V30+'WEIGHTS_&amp;_RULES'!$B$20*$W30)</f>
        <v/>
      </c>
      <c r="AA30" s="25">
        <f>IF($A30="","",'WEIGHTS_&amp;_RULES'!$B$24*$X30)</f>
        <v/>
      </c>
      <c r="AB30" s="25">
        <f>IF($A30="","",'WEIGHTS_&amp;_RULES'!$B$7*$Y30+'WEIGHTS_&amp;_RULES'!$B$8*$Z30+'WEIGHTS_&amp;_RULES'!$B$9*$AA30)</f>
        <v/>
      </c>
    </row>
    <row r="31">
      <c r="A31" s="9">
        <f>ANIMALS!A27</f>
        <v/>
      </c>
      <c r="B31" s="9">
        <f>ANIMALS!B27</f>
        <v/>
      </c>
      <c r="C31" s="9">
        <f>ANIMALS!D27</f>
        <v/>
      </c>
      <c r="D31" s="9">
        <f>ANIMALS!G27</f>
        <v/>
      </c>
      <c r="E31" s="9">
        <f>ANIMALS!H27</f>
        <v/>
      </c>
      <c r="F31" s="9">
        <f>ANIMALS!I27</f>
        <v/>
      </c>
      <c r="G31" s="9">
        <f>ANIMALS!O27</f>
        <v/>
      </c>
      <c r="H31" s="9">
        <f>ANIMALS!P27</f>
        <v/>
      </c>
      <c r="I31" s="9">
        <f>ANIMALS!Q27</f>
        <v/>
      </c>
      <c r="J31" s="9">
        <f>ANIMALS!R27</f>
        <v/>
      </c>
      <c r="K31" s="27">
        <f>IF($A31="","",AVERAGEIFS(PERFORMANCE!$F$2:$F$1000,PERFORMANCE!$C$2:$C$1000,$A31,PERFORMANCE!$E$2:$E$1000,"FAMACHA",PERFORMANCE!$B$2:$B$1000,$B$3))</f>
        <v/>
      </c>
      <c r="L31" s="7">
        <f>IF($A31="","",AVERAGEIFS(PERFORMANCE!$F$2:$F$1000,PERFORMANCE!$C$2:$C$1000,$A31,PERFORMANCE!$E$2:$E$1000,"FEC",PERFORMANCE!$B$2:$B$1000,$B$3))</f>
        <v/>
      </c>
      <c r="M31" s="7">
        <f>IF($A31="","",COUNTIFS(PERFORMANCE!$C$2:$C$1000,$A31,PERFORMANCE!$E$2:$E$1000,"DEWORM",PERFORMANCE!$B$2:$B$1000,$B$3))</f>
        <v/>
      </c>
      <c r="N31" s="29">
        <f>IF($A31="","",AVERAGEIFS(REPRODUCTION!$E$2:$E$1000,REPRODUCTION!$B$2:$B$1000,$A31,REPRODUCTION!$A$2:$A$1000,$B$3))</f>
        <v/>
      </c>
      <c r="O31" s="27">
        <f>IF($A31="","",AVERAGEIFS(PERFORMANCE!$F$2:$F$1000,PERFORMANCE!$C$2:$C$1000,$A31,PERFORMANCE!$E$2:$E$1000,"WEAN_WT",PERFORMANCE!$B$2:$B$1000,$B$3))</f>
        <v/>
      </c>
      <c r="P31" s="25">
        <f>IF($A31="","",AVERAGEIFS(PERFORMANCE!$F$2:$F$1000,PERFORMANCE!$C$2:$C$1000,$A31,PERFORMANCE!$E$2:$E$1000,"ADG",PERFORMANCE!$B$2:$B$1000,$B$3))</f>
        <v/>
      </c>
      <c r="Q31" s="27">
        <f>IF($A31="","",AVERAGEIFS(PERFORMANCE!$F$2:$F$1000,PERFORMANCE!$C$2:$C$1000,$A31,PERFORMANCE!$E$2:$E$1000,"SHEDDING",PERFORMANCE!$B$2:$B$1000,$B$3))</f>
        <v/>
      </c>
      <c r="R31" s="25">
        <f>IF($K31="","",IF(VLOOKUP($E31,PEN_STATS!$A$2:$V$10,4,FALSE)=0,0,-($K31-VLOOKUP($E31,PEN_STATS!$A$2:$V$10,3,FALSE))/VLOOKUP($E31,PEN_STATS!$A$2:$V$10,4,FALSE)))</f>
        <v/>
      </c>
      <c r="S31" s="25">
        <f>IF($L31="","",IF(VLOOKUP($E31,PEN_STATS!$A$2:$V$10,7,FALSE)=0,0,-($L31-VLOOKUP($E31,PEN_STATS!$A$2:$V$10,6,FALSE))/VLOOKUP($E31,PEN_STATS!$A$2:$V$10,7,FALSE)))</f>
        <v/>
      </c>
      <c r="T31" s="25">
        <f>IF($M31="","",IF(VLOOKUP($E31,PEN_STATS!$A$2:$V$10,10,FALSE)=0,0,-($M31-VLOOKUP($E31,PEN_STATS!$A$2:$V$10,9,FALSE))/VLOOKUP($E31,PEN_STATS!$A$2:$V$10,10,FALSE)))</f>
        <v/>
      </c>
      <c r="U31" s="25">
        <f>IF($N31="","",IF(VLOOKUP($E31,PEN_STATS!$A$2:$V$10,13,FALSE)=0,0,($N31-VLOOKUP($E31,PEN_STATS!$A$2:$V$10,12,FALSE))/VLOOKUP($E31,PEN_STATS!$A$2:$V$10,13,FALSE)))</f>
        <v/>
      </c>
      <c r="V31" s="25">
        <f>IF($O31="","",IF(VLOOKUP($E31,PEN_STATS!$A$2:$V$10,16,FALSE)=0,0,($O31-VLOOKUP($E31,PEN_STATS!$A$2:$V$10,15,FALSE))/VLOOKUP($E31,PEN_STATS!$A$2:$V$10,16,FALSE)))</f>
        <v/>
      </c>
      <c r="W31" s="25">
        <f>IF($P31="","",IF(VLOOKUP($E31,PEN_STATS!$A$2:$V$10,19,FALSE)=0,0,($P31-VLOOKUP($E31,PEN_STATS!$A$2:$V$10,18,FALSE))/VLOOKUP($E31,PEN_STATS!$A$2:$V$10,19,FALSE)))</f>
        <v/>
      </c>
      <c r="X31" s="25">
        <f>IF($Q31="","",IF(VLOOKUP($E31,PEN_STATS!$A$2:$V$10,22,FALSE)=0,0,($Q31-VLOOKUP($E31,PEN_STATS!$A$2:$V$10,21,FALSE))/VLOOKUP($E31,PEN_STATS!$A$2:$V$10,22,FALSE)))</f>
        <v/>
      </c>
      <c r="Y31" s="25">
        <f>IF($A31="","",'WEIGHTS_&amp;_RULES'!$B$12*$R31+'WEIGHTS_&amp;_RULES'!$B$13*$S31+'WEIGHTS_&amp;_RULES'!$B$14*$T31+'WEIGHTS_&amp;_RULES'!$B$15*$U31)</f>
        <v/>
      </c>
      <c r="Z31" s="25">
        <f>IF($A31="","",'WEIGHTS_&amp;_RULES'!$B$19*$V31+'WEIGHTS_&amp;_RULES'!$B$20*$W31)</f>
        <v/>
      </c>
      <c r="AA31" s="25">
        <f>IF($A31="","",'WEIGHTS_&amp;_RULES'!$B$24*$X31)</f>
        <v/>
      </c>
      <c r="AB31" s="25">
        <f>IF($A31="","",'WEIGHTS_&amp;_RULES'!$B$7*$Y31+'WEIGHTS_&amp;_RULES'!$B$8*$Z31+'WEIGHTS_&amp;_RULES'!$B$9*$AA31)</f>
        <v/>
      </c>
    </row>
    <row r="32">
      <c r="A32" s="9">
        <f>ANIMALS!A28</f>
        <v/>
      </c>
      <c r="B32" s="9">
        <f>ANIMALS!B28</f>
        <v/>
      </c>
      <c r="C32" s="9">
        <f>ANIMALS!D28</f>
        <v/>
      </c>
      <c r="D32" s="9">
        <f>ANIMALS!G28</f>
        <v/>
      </c>
      <c r="E32" s="9">
        <f>ANIMALS!H28</f>
        <v/>
      </c>
      <c r="F32" s="9">
        <f>ANIMALS!I28</f>
        <v/>
      </c>
      <c r="G32" s="9">
        <f>ANIMALS!O28</f>
        <v/>
      </c>
      <c r="H32" s="9">
        <f>ANIMALS!P28</f>
        <v/>
      </c>
      <c r="I32" s="9">
        <f>ANIMALS!Q28</f>
        <v/>
      </c>
      <c r="J32" s="9">
        <f>ANIMALS!R28</f>
        <v/>
      </c>
      <c r="K32" s="27">
        <f>IF($A32="","",AVERAGEIFS(PERFORMANCE!$F$2:$F$1000,PERFORMANCE!$C$2:$C$1000,$A32,PERFORMANCE!$E$2:$E$1000,"FAMACHA",PERFORMANCE!$B$2:$B$1000,$B$3))</f>
        <v/>
      </c>
      <c r="L32" s="7">
        <f>IF($A32="","",AVERAGEIFS(PERFORMANCE!$F$2:$F$1000,PERFORMANCE!$C$2:$C$1000,$A32,PERFORMANCE!$E$2:$E$1000,"FEC",PERFORMANCE!$B$2:$B$1000,$B$3))</f>
        <v/>
      </c>
      <c r="M32" s="7">
        <f>IF($A32="","",COUNTIFS(PERFORMANCE!$C$2:$C$1000,$A32,PERFORMANCE!$E$2:$E$1000,"DEWORM",PERFORMANCE!$B$2:$B$1000,$B$3))</f>
        <v/>
      </c>
      <c r="N32" s="29">
        <f>IF($A32="","",AVERAGEIFS(REPRODUCTION!$E$2:$E$1000,REPRODUCTION!$B$2:$B$1000,$A32,REPRODUCTION!$A$2:$A$1000,$B$3))</f>
        <v/>
      </c>
      <c r="O32" s="27">
        <f>IF($A32="","",AVERAGEIFS(PERFORMANCE!$F$2:$F$1000,PERFORMANCE!$C$2:$C$1000,$A32,PERFORMANCE!$E$2:$E$1000,"WEAN_WT",PERFORMANCE!$B$2:$B$1000,$B$3))</f>
        <v/>
      </c>
      <c r="P32" s="25">
        <f>IF($A32="","",AVERAGEIFS(PERFORMANCE!$F$2:$F$1000,PERFORMANCE!$C$2:$C$1000,$A32,PERFORMANCE!$E$2:$E$1000,"ADG",PERFORMANCE!$B$2:$B$1000,$B$3))</f>
        <v/>
      </c>
      <c r="Q32" s="27">
        <f>IF($A32="","",AVERAGEIFS(PERFORMANCE!$F$2:$F$1000,PERFORMANCE!$C$2:$C$1000,$A32,PERFORMANCE!$E$2:$E$1000,"SHEDDING",PERFORMANCE!$B$2:$B$1000,$B$3))</f>
        <v/>
      </c>
      <c r="R32" s="25">
        <f>IF($K32="","",IF(VLOOKUP($E32,PEN_STATS!$A$2:$V$10,4,FALSE)=0,0,-($K32-VLOOKUP($E32,PEN_STATS!$A$2:$V$10,3,FALSE))/VLOOKUP($E32,PEN_STATS!$A$2:$V$10,4,FALSE)))</f>
        <v/>
      </c>
      <c r="S32" s="25">
        <f>IF($L32="","",IF(VLOOKUP($E32,PEN_STATS!$A$2:$V$10,7,FALSE)=0,0,-($L32-VLOOKUP($E32,PEN_STATS!$A$2:$V$10,6,FALSE))/VLOOKUP($E32,PEN_STATS!$A$2:$V$10,7,FALSE)))</f>
        <v/>
      </c>
      <c r="T32" s="25">
        <f>IF($M32="","",IF(VLOOKUP($E32,PEN_STATS!$A$2:$V$10,10,FALSE)=0,0,-($M32-VLOOKUP($E32,PEN_STATS!$A$2:$V$10,9,FALSE))/VLOOKUP($E32,PEN_STATS!$A$2:$V$10,10,FALSE)))</f>
        <v/>
      </c>
      <c r="U32" s="25">
        <f>IF($N32="","",IF(VLOOKUP($E32,PEN_STATS!$A$2:$V$10,13,FALSE)=0,0,($N32-VLOOKUP($E32,PEN_STATS!$A$2:$V$10,12,FALSE))/VLOOKUP($E32,PEN_STATS!$A$2:$V$10,13,FALSE)))</f>
        <v/>
      </c>
      <c r="V32" s="25">
        <f>IF($O32="","",IF(VLOOKUP($E32,PEN_STATS!$A$2:$V$10,16,FALSE)=0,0,($O32-VLOOKUP($E32,PEN_STATS!$A$2:$V$10,15,FALSE))/VLOOKUP($E32,PEN_STATS!$A$2:$V$10,16,FALSE)))</f>
        <v/>
      </c>
      <c r="W32" s="25">
        <f>IF($P32="","",IF(VLOOKUP($E32,PEN_STATS!$A$2:$V$10,19,FALSE)=0,0,($P32-VLOOKUP($E32,PEN_STATS!$A$2:$V$10,18,FALSE))/VLOOKUP($E32,PEN_STATS!$A$2:$V$10,19,FALSE)))</f>
        <v/>
      </c>
      <c r="X32" s="25">
        <f>IF($Q32="","",IF(VLOOKUP($E32,PEN_STATS!$A$2:$V$10,22,FALSE)=0,0,($Q32-VLOOKUP($E32,PEN_STATS!$A$2:$V$10,21,FALSE))/VLOOKUP($E32,PEN_STATS!$A$2:$V$10,22,FALSE)))</f>
        <v/>
      </c>
      <c r="Y32" s="25">
        <f>IF($A32="","",'WEIGHTS_&amp;_RULES'!$B$12*$R32+'WEIGHTS_&amp;_RULES'!$B$13*$S32+'WEIGHTS_&amp;_RULES'!$B$14*$T32+'WEIGHTS_&amp;_RULES'!$B$15*$U32)</f>
        <v/>
      </c>
      <c r="Z32" s="25">
        <f>IF($A32="","",'WEIGHTS_&amp;_RULES'!$B$19*$V32+'WEIGHTS_&amp;_RULES'!$B$20*$W32)</f>
        <v/>
      </c>
      <c r="AA32" s="25">
        <f>IF($A32="","",'WEIGHTS_&amp;_RULES'!$B$24*$X32)</f>
        <v/>
      </c>
      <c r="AB32" s="25">
        <f>IF($A32="","",'WEIGHTS_&amp;_RULES'!$B$7*$Y32+'WEIGHTS_&amp;_RULES'!$B$8*$Z32+'WEIGHTS_&amp;_RULES'!$B$9*$AA32)</f>
        <v/>
      </c>
    </row>
    <row r="33">
      <c r="A33" s="9">
        <f>ANIMALS!A29</f>
        <v/>
      </c>
      <c r="B33" s="9">
        <f>ANIMALS!B29</f>
        <v/>
      </c>
      <c r="C33" s="9">
        <f>ANIMALS!D29</f>
        <v/>
      </c>
      <c r="D33" s="9">
        <f>ANIMALS!G29</f>
        <v/>
      </c>
      <c r="E33" s="9">
        <f>ANIMALS!H29</f>
        <v/>
      </c>
      <c r="F33" s="9">
        <f>ANIMALS!I29</f>
        <v/>
      </c>
      <c r="G33" s="9">
        <f>ANIMALS!O29</f>
        <v/>
      </c>
      <c r="H33" s="9">
        <f>ANIMALS!P29</f>
        <v/>
      </c>
      <c r="I33" s="9">
        <f>ANIMALS!Q29</f>
        <v/>
      </c>
      <c r="J33" s="9">
        <f>ANIMALS!R29</f>
        <v/>
      </c>
      <c r="K33" s="27">
        <f>IF($A33="","",AVERAGEIFS(PERFORMANCE!$F$2:$F$1000,PERFORMANCE!$C$2:$C$1000,$A33,PERFORMANCE!$E$2:$E$1000,"FAMACHA",PERFORMANCE!$B$2:$B$1000,$B$3))</f>
        <v/>
      </c>
      <c r="L33" s="7">
        <f>IF($A33="","",AVERAGEIFS(PERFORMANCE!$F$2:$F$1000,PERFORMANCE!$C$2:$C$1000,$A33,PERFORMANCE!$E$2:$E$1000,"FEC",PERFORMANCE!$B$2:$B$1000,$B$3))</f>
        <v/>
      </c>
      <c r="M33" s="7">
        <f>IF($A33="","",COUNTIFS(PERFORMANCE!$C$2:$C$1000,$A33,PERFORMANCE!$E$2:$E$1000,"DEWORM",PERFORMANCE!$B$2:$B$1000,$B$3))</f>
        <v/>
      </c>
      <c r="N33" s="29">
        <f>IF($A33="","",AVERAGEIFS(REPRODUCTION!$E$2:$E$1000,REPRODUCTION!$B$2:$B$1000,$A33,REPRODUCTION!$A$2:$A$1000,$B$3))</f>
        <v/>
      </c>
      <c r="O33" s="27">
        <f>IF($A33="","",AVERAGEIFS(PERFORMANCE!$F$2:$F$1000,PERFORMANCE!$C$2:$C$1000,$A33,PERFORMANCE!$E$2:$E$1000,"WEAN_WT",PERFORMANCE!$B$2:$B$1000,$B$3))</f>
        <v/>
      </c>
      <c r="P33" s="25">
        <f>IF($A33="","",AVERAGEIFS(PERFORMANCE!$F$2:$F$1000,PERFORMANCE!$C$2:$C$1000,$A33,PERFORMANCE!$E$2:$E$1000,"ADG",PERFORMANCE!$B$2:$B$1000,$B$3))</f>
        <v/>
      </c>
      <c r="Q33" s="27">
        <f>IF($A33="","",AVERAGEIFS(PERFORMANCE!$F$2:$F$1000,PERFORMANCE!$C$2:$C$1000,$A33,PERFORMANCE!$E$2:$E$1000,"SHEDDING",PERFORMANCE!$B$2:$B$1000,$B$3))</f>
        <v/>
      </c>
      <c r="R33" s="25">
        <f>IF($K33="","",IF(VLOOKUP($E33,PEN_STATS!$A$2:$V$10,4,FALSE)=0,0,-($K33-VLOOKUP($E33,PEN_STATS!$A$2:$V$10,3,FALSE))/VLOOKUP($E33,PEN_STATS!$A$2:$V$10,4,FALSE)))</f>
        <v/>
      </c>
      <c r="S33" s="25">
        <f>IF($L33="","",IF(VLOOKUP($E33,PEN_STATS!$A$2:$V$10,7,FALSE)=0,0,-($L33-VLOOKUP($E33,PEN_STATS!$A$2:$V$10,6,FALSE))/VLOOKUP($E33,PEN_STATS!$A$2:$V$10,7,FALSE)))</f>
        <v/>
      </c>
      <c r="T33" s="25">
        <f>IF($M33="","",IF(VLOOKUP($E33,PEN_STATS!$A$2:$V$10,10,FALSE)=0,0,-($M33-VLOOKUP($E33,PEN_STATS!$A$2:$V$10,9,FALSE))/VLOOKUP($E33,PEN_STATS!$A$2:$V$10,10,FALSE)))</f>
        <v/>
      </c>
      <c r="U33" s="25">
        <f>IF($N33="","",IF(VLOOKUP($E33,PEN_STATS!$A$2:$V$10,13,FALSE)=0,0,($N33-VLOOKUP($E33,PEN_STATS!$A$2:$V$10,12,FALSE))/VLOOKUP($E33,PEN_STATS!$A$2:$V$10,13,FALSE)))</f>
        <v/>
      </c>
      <c r="V33" s="25">
        <f>IF($O33="","",IF(VLOOKUP($E33,PEN_STATS!$A$2:$V$10,16,FALSE)=0,0,($O33-VLOOKUP($E33,PEN_STATS!$A$2:$V$10,15,FALSE))/VLOOKUP($E33,PEN_STATS!$A$2:$V$10,16,FALSE)))</f>
        <v/>
      </c>
      <c r="W33" s="25">
        <f>IF($P33="","",IF(VLOOKUP($E33,PEN_STATS!$A$2:$V$10,19,FALSE)=0,0,($P33-VLOOKUP($E33,PEN_STATS!$A$2:$V$10,18,FALSE))/VLOOKUP($E33,PEN_STATS!$A$2:$V$10,19,FALSE)))</f>
        <v/>
      </c>
      <c r="X33" s="25">
        <f>IF($Q33="","",IF(VLOOKUP($E33,PEN_STATS!$A$2:$V$10,22,FALSE)=0,0,($Q33-VLOOKUP($E33,PEN_STATS!$A$2:$V$10,21,FALSE))/VLOOKUP($E33,PEN_STATS!$A$2:$V$10,22,FALSE)))</f>
        <v/>
      </c>
      <c r="Y33" s="25">
        <f>IF($A33="","",'WEIGHTS_&amp;_RULES'!$B$12*$R33+'WEIGHTS_&amp;_RULES'!$B$13*$S33+'WEIGHTS_&amp;_RULES'!$B$14*$T33+'WEIGHTS_&amp;_RULES'!$B$15*$U33)</f>
        <v/>
      </c>
      <c r="Z33" s="25">
        <f>IF($A33="","",'WEIGHTS_&amp;_RULES'!$B$19*$V33+'WEIGHTS_&amp;_RULES'!$B$20*$W33)</f>
        <v/>
      </c>
      <c r="AA33" s="25">
        <f>IF($A33="","",'WEIGHTS_&amp;_RULES'!$B$24*$X33)</f>
        <v/>
      </c>
      <c r="AB33" s="25">
        <f>IF($A33="","",'WEIGHTS_&amp;_RULES'!$B$7*$Y33+'WEIGHTS_&amp;_RULES'!$B$8*$Z33+'WEIGHTS_&amp;_RULES'!$B$9*$AA33)</f>
        <v/>
      </c>
    </row>
    <row r="34">
      <c r="A34" s="9">
        <f>ANIMALS!A30</f>
        <v/>
      </c>
      <c r="B34" s="9">
        <f>ANIMALS!B30</f>
        <v/>
      </c>
      <c r="C34" s="9">
        <f>ANIMALS!D30</f>
        <v/>
      </c>
      <c r="D34" s="9">
        <f>ANIMALS!G30</f>
        <v/>
      </c>
      <c r="E34" s="9">
        <f>ANIMALS!H30</f>
        <v/>
      </c>
      <c r="F34" s="9">
        <f>ANIMALS!I30</f>
        <v/>
      </c>
      <c r="G34" s="9">
        <f>ANIMALS!O30</f>
        <v/>
      </c>
      <c r="H34" s="9">
        <f>ANIMALS!P30</f>
        <v/>
      </c>
      <c r="I34" s="9">
        <f>ANIMALS!Q30</f>
        <v/>
      </c>
      <c r="J34" s="9">
        <f>ANIMALS!R30</f>
        <v/>
      </c>
      <c r="K34" s="27">
        <f>IF($A34="","",AVERAGEIFS(PERFORMANCE!$F$2:$F$1000,PERFORMANCE!$C$2:$C$1000,$A34,PERFORMANCE!$E$2:$E$1000,"FAMACHA",PERFORMANCE!$B$2:$B$1000,$B$3))</f>
        <v/>
      </c>
      <c r="L34" s="7">
        <f>IF($A34="","",AVERAGEIFS(PERFORMANCE!$F$2:$F$1000,PERFORMANCE!$C$2:$C$1000,$A34,PERFORMANCE!$E$2:$E$1000,"FEC",PERFORMANCE!$B$2:$B$1000,$B$3))</f>
        <v/>
      </c>
      <c r="M34" s="7">
        <f>IF($A34="","",COUNTIFS(PERFORMANCE!$C$2:$C$1000,$A34,PERFORMANCE!$E$2:$E$1000,"DEWORM",PERFORMANCE!$B$2:$B$1000,$B$3))</f>
        <v/>
      </c>
      <c r="N34" s="29">
        <f>IF($A34="","",AVERAGEIFS(REPRODUCTION!$E$2:$E$1000,REPRODUCTION!$B$2:$B$1000,$A34,REPRODUCTION!$A$2:$A$1000,$B$3))</f>
        <v/>
      </c>
      <c r="O34" s="27">
        <f>IF($A34="","",AVERAGEIFS(PERFORMANCE!$F$2:$F$1000,PERFORMANCE!$C$2:$C$1000,$A34,PERFORMANCE!$E$2:$E$1000,"WEAN_WT",PERFORMANCE!$B$2:$B$1000,$B$3))</f>
        <v/>
      </c>
      <c r="P34" s="25">
        <f>IF($A34="","",AVERAGEIFS(PERFORMANCE!$F$2:$F$1000,PERFORMANCE!$C$2:$C$1000,$A34,PERFORMANCE!$E$2:$E$1000,"ADG",PERFORMANCE!$B$2:$B$1000,$B$3))</f>
        <v/>
      </c>
      <c r="Q34" s="27">
        <f>IF($A34="","",AVERAGEIFS(PERFORMANCE!$F$2:$F$1000,PERFORMANCE!$C$2:$C$1000,$A34,PERFORMANCE!$E$2:$E$1000,"SHEDDING",PERFORMANCE!$B$2:$B$1000,$B$3))</f>
        <v/>
      </c>
      <c r="R34" s="25">
        <f>IF($K34="","",IF(VLOOKUP($E34,PEN_STATS!$A$2:$V$10,4,FALSE)=0,0,-($K34-VLOOKUP($E34,PEN_STATS!$A$2:$V$10,3,FALSE))/VLOOKUP($E34,PEN_STATS!$A$2:$V$10,4,FALSE)))</f>
        <v/>
      </c>
      <c r="S34" s="25">
        <f>IF($L34="","",IF(VLOOKUP($E34,PEN_STATS!$A$2:$V$10,7,FALSE)=0,0,-($L34-VLOOKUP($E34,PEN_STATS!$A$2:$V$10,6,FALSE))/VLOOKUP($E34,PEN_STATS!$A$2:$V$10,7,FALSE)))</f>
        <v/>
      </c>
      <c r="T34" s="25">
        <f>IF($M34="","",IF(VLOOKUP($E34,PEN_STATS!$A$2:$V$10,10,FALSE)=0,0,-($M34-VLOOKUP($E34,PEN_STATS!$A$2:$V$10,9,FALSE))/VLOOKUP($E34,PEN_STATS!$A$2:$V$10,10,FALSE)))</f>
        <v/>
      </c>
      <c r="U34" s="25">
        <f>IF($N34="","",IF(VLOOKUP($E34,PEN_STATS!$A$2:$V$10,13,FALSE)=0,0,($N34-VLOOKUP($E34,PEN_STATS!$A$2:$V$10,12,FALSE))/VLOOKUP($E34,PEN_STATS!$A$2:$V$10,13,FALSE)))</f>
        <v/>
      </c>
      <c r="V34" s="25">
        <f>IF($O34="","",IF(VLOOKUP($E34,PEN_STATS!$A$2:$V$10,16,FALSE)=0,0,($O34-VLOOKUP($E34,PEN_STATS!$A$2:$V$10,15,FALSE))/VLOOKUP($E34,PEN_STATS!$A$2:$V$10,16,FALSE)))</f>
        <v/>
      </c>
      <c r="W34" s="25">
        <f>IF($P34="","",IF(VLOOKUP($E34,PEN_STATS!$A$2:$V$10,19,FALSE)=0,0,($P34-VLOOKUP($E34,PEN_STATS!$A$2:$V$10,18,FALSE))/VLOOKUP($E34,PEN_STATS!$A$2:$V$10,19,FALSE)))</f>
        <v/>
      </c>
      <c r="X34" s="25">
        <f>IF($Q34="","",IF(VLOOKUP($E34,PEN_STATS!$A$2:$V$10,22,FALSE)=0,0,($Q34-VLOOKUP($E34,PEN_STATS!$A$2:$V$10,21,FALSE))/VLOOKUP($E34,PEN_STATS!$A$2:$V$10,22,FALSE)))</f>
        <v/>
      </c>
      <c r="Y34" s="25">
        <f>IF($A34="","",'WEIGHTS_&amp;_RULES'!$B$12*$R34+'WEIGHTS_&amp;_RULES'!$B$13*$S34+'WEIGHTS_&amp;_RULES'!$B$14*$T34+'WEIGHTS_&amp;_RULES'!$B$15*$U34)</f>
        <v/>
      </c>
      <c r="Z34" s="25">
        <f>IF($A34="","",'WEIGHTS_&amp;_RULES'!$B$19*$V34+'WEIGHTS_&amp;_RULES'!$B$20*$W34)</f>
        <v/>
      </c>
      <c r="AA34" s="25">
        <f>IF($A34="","",'WEIGHTS_&amp;_RULES'!$B$24*$X34)</f>
        <v/>
      </c>
      <c r="AB34" s="25">
        <f>IF($A34="","",'WEIGHTS_&amp;_RULES'!$B$7*$Y34+'WEIGHTS_&amp;_RULES'!$B$8*$Z34+'WEIGHTS_&amp;_RULES'!$B$9*$AA34)</f>
        <v/>
      </c>
    </row>
    <row r="35">
      <c r="A35" s="9">
        <f>ANIMALS!A31</f>
        <v/>
      </c>
      <c r="B35" s="9">
        <f>ANIMALS!B31</f>
        <v/>
      </c>
      <c r="C35" s="9">
        <f>ANIMALS!D31</f>
        <v/>
      </c>
      <c r="D35" s="9">
        <f>ANIMALS!G31</f>
        <v/>
      </c>
      <c r="E35" s="9">
        <f>ANIMALS!H31</f>
        <v/>
      </c>
      <c r="F35" s="9">
        <f>ANIMALS!I31</f>
        <v/>
      </c>
      <c r="G35" s="9">
        <f>ANIMALS!O31</f>
        <v/>
      </c>
      <c r="H35" s="9">
        <f>ANIMALS!P31</f>
        <v/>
      </c>
      <c r="I35" s="9">
        <f>ANIMALS!Q31</f>
        <v/>
      </c>
      <c r="J35" s="9">
        <f>ANIMALS!R31</f>
        <v/>
      </c>
      <c r="K35" s="27">
        <f>IF($A35="","",AVERAGEIFS(PERFORMANCE!$F$2:$F$1000,PERFORMANCE!$C$2:$C$1000,$A35,PERFORMANCE!$E$2:$E$1000,"FAMACHA",PERFORMANCE!$B$2:$B$1000,$B$3))</f>
        <v/>
      </c>
      <c r="L35" s="7">
        <f>IF($A35="","",AVERAGEIFS(PERFORMANCE!$F$2:$F$1000,PERFORMANCE!$C$2:$C$1000,$A35,PERFORMANCE!$E$2:$E$1000,"FEC",PERFORMANCE!$B$2:$B$1000,$B$3))</f>
        <v/>
      </c>
      <c r="M35" s="7">
        <f>IF($A35="","",COUNTIFS(PERFORMANCE!$C$2:$C$1000,$A35,PERFORMANCE!$E$2:$E$1000,"DEWORM",PERFORMANCE!$B$2:$B$1000,$B$3))</f>
        <v/>
      </c>
      <c r="N35" s="29">
        <f>IF($A35="","",AVERAGEIFS(REPRODUCTION!$E$2:$E$1000,REPRODUCTION!$B$2:$B$1000,$A35,REPRODUCTION!$A$2:$A$1000,$B$3))</f>
        <v/>
      </c>
      <c r="O35" s="27">
        <f>IF($A35="","",AVERAGEIFS(PERFORMANCE!$F$2:$F$1000,PERFORMANCE!$C$2:$C$1000,$A35,PERFORMANCE!$E$2:$E$1000,"WEAN_WT",PERFORMANCE!$B$2:$B$1000,$B$3))</f>
        <v/>
      </c>
      <c r="P35" s="25">
        <f>IF($A35="","",AVERAGEIFS(PERFORMANCE!$F$2:$F$1000,PERFORMANCE!$C$2:$C$1000,$A35,PERFORMANCE!$E$2:$E$1000,"ADG",PERFORMANCE!$B$2:$B$1000,$B$3))</f>
        <v/>
      </c>
      <c r="Q35" s="27">
        <f>IF($A35="","",AVERAGEIFS(PERFORMANCE!$F$2:$F$1000,PERFORMANCE!$C$2:$C$1000,$A35,PERFORMANCE!$E$2:$E$1000,"SHEDDING",PERFORMANCE!$B$2:$B$1000,$B$3))</f>
        <v/>
      </c>
      <c r="R35" s="25">
        <f>IF($K35="","",IF(VLOOKUP($E35,PEN_STATS!$A$2:$V$10,4,FALSE)=0,0,-($K35-VLOOKUP($E35,PEN_STATS!$A$2:$V$10,3,FALSE))/VLOOKUP($E35,PEN_STATS!$A$2:$V$10,4,FALSE)))</f>
        <v/>
      </c>
      <c r="S35" s="25">
        <f>IF($L35="","",IF(VLOOKUP($E35,PEN_STATS!$A$2:$V$10,7,FALSE)=0,0,-($L35-VLOOKUP($E35,PEN_STATS!$A$2:$V$10,6,FALSE))/VLOOKUP($E35,PEN_STATS!$A$2:$V$10,7,FALSE)))</f>
        <v/>
      </c>
      <c r="T35" s="25">
        <f>IF($M35="","",IF(VLOOKUP($E35,PEN_STATS!$A$2:$V$10,10,FALSE)=0,0,-($M35-VLOOKUP($E35,PEN_STATS!$A$2:$V$10,9,FALSE))/VLOOKUP($E35,PEN_STATS!$A$2:$V$10,10,FALSE)))</f>
        <v/>
      </c>
      <c r="U35" s="25">
        <f>IF($N35="","",IF(VLOOKUP($E35,PEN_STATS!$A$2:$V$10,13,FALSE)=0,0,($N35-VLOOKUP($E35,PEN_STATS!$A$2:$V$10,12,FALSE))/VLOOKUP($E35,PEN_STATS!$A$2:$V$10,13,FALSE)))</f>
        <v/>
      </c>
      <c r="V35" s="25">
        <f>IF($O35="","",IF(VLOOKUP($E35,PEN_STATS!$A$2:$V$10,16,FALSE)=0,0,($O35-VLOOKUP($E35,PEN_STATS!$A$2:$V$10,15,FALSE))/VLOOKUP($E35,PEN_STATS!$A$2:$V$10,16,FALSE)))</f>
        <v/>
      </c>
      <c r="W35" s="25">
        <f>IF($P35="","",IF(VLOOKUP($E35,PEN_STATS!$A$2:$V$10,19,FALSE)=0,0,($P35-VLOOKUP($E35,PEN_STATS!$A$2:$V$10,18,FALSE))/VLOOKUP($E35,PEN_STATS!$A$2:$V$10,19,FALSE)))</f>
        <v/>
      </c>
      <c r="X35" s="25">
        <f>IF($Q35="","",IF(VLOOKUP($E35,PEN_STATS!$A$2:$V$10,22,FALSE)=0,0,($Q35-VLOOKUP($E35,PEN_STATS!$A$2:$V$10,21,FALSE))/VLOOKUP($E35,PEN_STATS!$A$2:$V$10,22,FALSE)))</f>
        <v/>
      </c>
      <c r="Y35" s="25">
        <f>IF($A35="","",'WEIGHTS_&amp;_RULES'!$B$12*$R35+'WEIGHTS_&amp;_RULES'!$B$13*$S35+'WEIGHTS_&amp;_RULES'!$B$14*$T35+'WEIGHTS_&amp;_RULES'!$B$15*$U35)</f>
        <v/>
      </c>
      <c r="Z35" s="25">
        <f>IF($A35="","",'WEIGHTS_&amp;_RULES'!$B$19*$V35+'WEIGHTS_&amp;_RULES'!$B$20*$W35)</f>
        <v/>
      </c>
      <c r="AA35" s="25">
        <f>IF($A35="","",'WEIGHTS_&amp;_RULES'!$B$24*$X35)</f>
        <v/>
      </c>
      <c r="AB35" s="25">
        <f>IF($A35="","",'WEIGHTS_&amp;_RULES'!$B$7*$Y35+'WEIGHTS_&amp;_RULES'!$B$8*$Z35+'WEIGHTS_&amp;_RULES'!$B$9*$AA35)</f>
        <v/>
      </c>
    </row>
    <row r="36">
      <c r="A36" s="9">
        <f>ANIMALS!A32</f>
        <v/>
      </c>
      <c r="B36" s="9">
        <f>ANIMALS!B32</f>
        <v/>
      </c>
      <c r="C36" s="9">
        <f>ANIMALS!D32</f>
        <v/>
      </c>
      <c r="D36" s="9">
        <f>ANIMALS!G32</f>
        <v/>
      </c>
      <c r="E36" s="9">
        <f>ANIMALS!H32</f>
        <v/>
      </c>
      <c r="F36" s="9">
        <f>ANIMALS!I32</f>
        <v/>
      </c>
      <c r="G36" s="9">
        <f>ANIMALS!O32</f>
        <v/>
      </c>
      <c r="H36" s="9">
        <f>ANIMALS!P32</f>
        <v/>
      </c>
      <c r="I36" s="9">
        <f>ANIMALS!Q32</f>
        <v/>
      </c>
      <c r="J36" s="9">
        <f>ANIMALS!R32</f>
        <v/>
      </c>
      <c r="K36" s="27">
        <f>IF($A36="","",AVERAGEIFS(PERFORMANCE!$F$2:$F$1000,PERFORMANCE!$C$2:$C$1000,$A36,PERFORMANCE!$E$2:$E$1000,"FAMACHA",PERFORMANCE!$B$2:$B$1000,$B$3))</f>
        <v/>
      </c>
      <c r="L36" s="7">
        <f>IF($A36="","",AVERAGEIFS(PERFORMANCE!$F$2:$F$1000,PERFORMANCE!$C$2:$C$1000,$A36,PERFORMANCE!$E$2:$E$1000,"FEC",PERFORMANCE!$B$2:$B$1000,$B$3))</f>
        <v/>
      </c>
      <c r="M36" s="7">
        <f>IF($A36="","",COUNTIFS(PERFORMANCE!$C$2:$C$1000,$A36,PERFORMANCE!$E$2:$E$1000,"DEWORM",PERFORMANCE!$B$2:$B$1000,$B$3))</f>
        <v/>
      </c>
      <c r="N36" s="29">
        <f>IF($A36="","",AVERAGEIFS(REPRODUCTION!$E$2:$E$1000,REPRODUCTION!$B$2:$B$1000,$A36,REPRODUCTION!$A$2:$A$1000,$B$3))</f>
        <v/>
      </c>
      <c r="O36" s="27">
        <f>IF($A36="","",AVERAGEIFS(PERFORMANCE!$F$2:$F$1000,PERFORMANCE!$C$2:$C$1000,$A36,PERFORMANCE!$E$2:$E$1000,"WEAN_WT",PERFORMANCE!$B$2:$B$1000,$B$3))</f>
        <v/>
      </c>
      <c r="P36" s="25">
        <f>IF($A36="","",AVERAGEIFS(PERFORMANCE!$F$2:$F$1000,PERFORMANCE!$C$2:$C$1000,$A36,PERFORMANCE!$E$2:$E$1000,"ADG",PERFORMANCE!$B$2:$B$1000,$B$3))</f>
        <v/>
      </c>
      <c r="Q36" s="27">
        <f>IF($A36="","",AVERAGEIFS(PERFORMANCE!$F$2:$F$1000,PERFORMANCE!$C$2:$C$1000,$A36,PERFORMANCE!$E$2:$E$1000,"SHEDDING",PERFORMANCE!$B$2:$B$1000,$B$3))</f>
        <v/>
      </c>
      <c r="R36" s="25">
        <f>IF($K36="","",IF(VLOOKUP($E36,PEN_STATS!$A$2:$V$10,4,FALSE)=0,0,-($K36-VLOOKUP($E36,PEN_STATS!$A$2:$V$10,3,FALSE))/VLOOKUP($E36,PEN_STATS!$A$2:$V$10,4,FALSE)))</f>
        <v/>
      </c>
      <c r="S36" s="25">
        <f>IF($L36="","",IF(VLOOKUP($E36,PEN_STATS!$A$2:$V$10,7,FALSE)=0,0,-($L36-VLOOKUP($E36,PEN_STATS!$A$2:$V$10,6,FALSE))/VLOOKUP($E36,PEN_STATS!$A$2:$V$10,7,FALSE)))</f>
        <v/>
      </c>
      <c r="T36" s="25">
        <f>IF($M36="","",IF(VLOOKUP($E36,PEN_STATS!$A$2:$V$10,10,FALSE)=0,0,-($M36-VLOOKUP($E36,PEN_STATS!$A$2:$V$10,9,FALSE))/VLOOKUP($E36,PEN_STATS!$A$2:$V$10,10,FALSE)))</f>
        <v/>
      </c>
      <c r="U36" s="25">
        <f>IF($N36="","",IF(VLOOKUP($E36,PEN_STATS!$A$2:$V$10,13,FALSE)=0,0,($N36-VLOOKUP($E36,PEN_STATS!$A$2:$V$10,12,FALSE))/VLOOKUP($E36,PEN_STATS!$A$2:$V$10,13,FALSE)))</f>
        <v/>
      </c>
      <c r="V36" s="25">
        <f>IF($O36="","",IF(VLOOKUP($E36,PEN_STATS!$A$2:$V$10,16,FALSE)=0,0,($O36-VLOOKUP($E36,PEN_STATS!$A$2:$V$10,15,FALSE))/VLOOKUP($E36,PEN_STATS!$A$2:$V$10,16,FALSE)))</f>
        <v/>
      </c>
      <c r="W36" s="25">
        <f>IF($P36="","",IF(VLOOKUP($E36,PEN_STATS!$A$2:$V$10,19,FALSE)=0,0,($P36-VLOOKUP($E36,PEN_STATS!$A$2:$V$10,18,FALSE))/VLOOKUP($E36,PEN_STATS!$A$2:$V$10,19,FALSE)))</f>
        <v/>
      </c>
      <c r="X36" s="25">
        <f>IF($Q36="","",IF(VLOOKUP($E36,PEN_STATS!$A$2:$V$10,22,FALSE)=0,0,($Q36-VLOOKUP($E36,PEN_STATS!$A$2:$V$10,21,FALSE))/VLOOKUP($E36,PEN_STATS!$A$2:$V$10,22,FALSE)))</f>
        <v/>
      </c>
      <c r="Y36" s="25">
        <f>IF($A36="","",'WEIGHTS_&amp;_RULES'!$B$12*$R36+'WEIGHTS_&amp;_RULES'!$B$13*$S36+'WEIGHTS_&amp;_RULES'!$B$14*$T36+'WEIGHTS_&amp;_RULES'!$B$15*$U36)</f>
        <v/>
      </c>
      <c r="Z36" s="25">
        <f>IF($A36="","",'WEIGHTS_&amp;_RULES'!$B$19*$V36+'WEIGHTS_&amp;_RULES'!$B$20*$W36)</f>
        <v/>
      </c>
      <c r="AA36" s="25">
        <f>IF($A36="","",'WEIGHTS_&amp;_RULES'!$B$24*$X36)</f>
        <v/>
      </c>
      <c r="AB36" s="25">
        <f>IF($A36="","",'WEIGHTS_&amp;_RULES'!$B$7*$Y36+'WEIGHTS_&amp;_RULES'!$B$8*$Z36+'WEIGHTS_&amp;_RULES'!$B$9*$AA36)</f>
        <v/>
      </c>
    </row>
    <row r="37">
      <c r="A37" s="9">
        <f>ANIMALS!A33</f>
        <v/>
      </c>
      <c r="B37" s="9">
        <f>ANIMALS!B33</f>
        <v/>
      </c>
      <c r="C37" s="9">
        <f>ANIMALS!D33</f>
        <v/>
      </c>
      <c r="D37" s="9">
        <f>ANIMALS!G33</f>
        <v/>
      </c>
      <c r="E37" s="9">
        <f>ANIMALS!H33</f>
        <v/>
      </c>
      <c r="F37" s="9">
        <f>ANIMALS!I33</f>
        <v/>
      </c>
      <c r="G37" s="9">
        <f>ANIMALS!O33</f>
        <v/>
      </c>
      <c r="H37" s="9">
        <f>ANIMALS!P33</f>
        <v/>
      </c>
      <c r="I37" s="9">
        <f>ANIMALS!Q33</f>
        <v/>
      </c>
      <c r="J37" s="9">
        <f>ANIMALS!R33</f>
        <v/>
      </c>
      <c r="K37" s="27">
        <f>IF($A37="","",AVERAGEIFS(PERFORMANCE!$F$2:$F$1000,PERFORMANCE!$C$2:$C$1000,$A37,PERFORMANCE!$E$2:$E$1000,"FAMACHA",PERFORMANCE!$B$2:$B$1000,$B$3))</f>
        <v/>
      </c>
      <c r="L37" s="7">
        <f>IF($A37="","",AVERAGEIFS(PERFORMANCE!$F$2:$F$1000,PERFORMANCE!$C$2:$C$1000,$A37,PERFORMANCE!$E$2:$E$1000,"FEC",PERFORMANCE!$B$2:$B$1000,$B$3))</f>
        <v/>
      </c>
      <c r="M37" s="7">
        <f>IF($A37="","",COUNTIFS(PERFORMANCE!$C$2:$C$1000,$A37,PERFORMANCE!$E$2:$E$1000,"DEWORM",PERFORMANCE!$B$2:$B$1000,$B$3))</f>
        <v/>
      </c>
      <c r="N37" s="29">
        <f>IF($A37="","",AVERAGEIFS(REPRODUCTION!$E$2:$E$1000,REPRODUCTION!$B$2:$B$1000,$A37,REPRODUCTION!$A$2:$A$1000,$B$3))</f>
        <v/>
      </c>
      <c r="O37" s="27">
        <f>IF($A37="","",AVERAGEIFS(PERFORMANCE!$F$2:$F$1000,PERFORMANCE!$C$2:$C$1000,$A37,PERFORMANCE!$E$2:$E$1000,"WEAN_WT",PERFORMANCE!$B$2:$B$1000,$B$3))</f>
        <v/>
      </c>
      <c r="P37" s="25">
        <f>IF($A37="","",AVERAGEIFS(PERFORMANCE!$F$2:$F$1000,PERFORMANCE!$C$2:$C$1000,$A37,PERFORMANCE!$E$2:$E$1000,"ADG",PERFORMANCE!$B$2:$B$1000,$B$3))</f>
        <v/>
      </c>
      <c r="Q37" s="27">
        <f>IF($A37="","",AVERAGEIFS(PERFORMANCE!$F$2:$F$1000,PERFORMANCE!$C$2:$C$1000,$A37,PERFORMANCE!$E$2:$E$1000,"SHEDDING",PERFORMANCE!$B$2:$B$1000,$B$3))</f>
        <v/>
      </c>
      <c r="R37" s="25">
        <f>IF($K37="","",IF(VLOOKUP($E37,PEN_STATS!$A$2:$V$10,4,FALSE)=0,0,-($K37-VLOOKUP($E37,PEN_STATS!$A$2:$V$10,3,FALSE))/VLOOKUP($E37,PEN_STATS!$A$2:$V$10,4,FALSE)))</f>
        <v/>
      </c>
      <c r="S37" s="25">
        <f>IF($L37="","",IF(VLOOKUP($E37,PEN_STATS!$A$2:$V$10,7,FALSE)=0,0,-($L37-VLOOKUP($E37,PEN_STATS!$A$2:$V$10,6,FALSE))/VLOOKUP($E37,PEN_STATS!$A$2:$V$10,7,FALSE)))</f>
        <v/>
      </c>
      <c r="T37" s="25">
        <f>IF($M37="","",IF(VLOOKUP($E37,PEN_STATS!$A$2:$V$10,10,FALSE)=0,0,-($M37-VLOOKUP($E37,PEN_STATS!$A$2:$V$10,9,FALSE))/VLOOKUP($E37,PEN_STATS!$A$2:$V$10,10,FALSE)))</f>
        <v/>
      </c>
      <c r="U37" s="25">
        <f>IF($N37="","",IF(VLOOKUP($E37,PEN_STATS!$A$2:$V$10,13,FALSE)=0,0,($N37-VLOOKUP($E37,PEN_STATS!$A$2:$V$10,12,FALSE))/VLOOKUP($E37,PEN_STATS!$A$2:$V$10,13,FALSE)))</f>
        <v/>
      </c>
      <c r="V37" s="25">
        <f>IF($O37="","",IF(VLOOKUP($E37,PEN_STATS!$A$2:$V$10,16,FALSE)=0,0,($O37-VLOOKUP($E37,PEN_STATS!$A$2:$V$10,15,FALSE))/VLOOKUP($E37,PEN_STATS!$A$2:$V$10,16,FALSE)))</f>
        <v/>
      </c>
      <c r="W37" s="25">
        <f>IF($P37="","",IF(VLOOKUP($E37,PEN_STATS!$A$2:$V$10,19,FALSE)=0,0,($P37-VLOOKUP($E37,PEN_STATS!$A$2:$V$10,18,FALSE))/VLOOKUP($E37,PEN_STATS!$A$2:$V$10,19,FALSE)))</f>
        <v/>
      </c>
      <c r="X37" s="25">
        <f>IF($Q37="","",IF(VLOOKUP($E37,PEN_STATS!$A$2:$V$10,22,FALSE)=0,0,($Q37-VLOOKUP($E37,PEN_STATS!$A$2:$V$10,21,FALSE))/VLOOKUP($E37,PEN_STATS!$A$2:$V$10,22,FALSE)))</f>
        <v/>
      </c>
      <c r="Y37" s="25">
        <f>IF($A37="","",'WEIGHTS_&amp;_RULES'!$B$12*$R37+'WEIGHTS_&amp;_RULES'!$B$13*$S37+'WEIGHTS_&amp;_RULES'!$B$14*$T37+'WEIGHTS_&amp;_RULES'!$B$15*$U37)</f>
        <v/>
      </c>
      <c r="Z37" s="25">
        <f>IF($A37="","",'WEIGHTS_&amp;_RULES'!$B$19*$V37+'WEIGHTS_&amp;_RULES'!$B$20*$W37)</f>
        <v/>
      </c>
      <c r="AA37" s="25">
        <f>IF($A37="","",'WEIGHTS_&amp;_RULES'!$B$24*$X37)</f>
        <v/>
      </c>
      <c r="AB37" s="25">
        <f>IF($A37="","",'WEIGHTS_&amp;_RULES'!$B$7*$Y37+'WEIGHTS_&amp;_RULES'!$B$8*$Z37+'WEIGHTS_&amp;_RULES'!$B$9*$AA37)</f>
        <v/>
      </c>
    </row>
    <row r="38">
      <c r="A38" s="9">
        <f>ANIMALS!A34</f>
        <v/>
      </c>
      <c r="B38" s="9">
        <f>ANIMALS!B34</f>
        <v/>
      </c>
      <c r="C38" s="9">
        <f>ANIMALS!D34</f>
        <v/>
      </c>
      <c r="D38" s="9">
        <f>ANIMALS!G34</f>
        <v/>
      </c>
      <c r="E38" s="9">
        <f>ANIMALS!H34</f>
        <v/>
      </c>
      <c r="F38" s="9">
        <f>ANIMALS!I34</f>
        <v/>
      </c>
      <c r="G38" s="9">
        <f>ANIMALS!O34</f>
        <v/>
      </c>
      <c r="H38" s="9">
        <f>ANIMALS!P34</f>
        <v/>
      </c>
      <c r="I38" s="9">
        <f>ANIMALS!Q34</f>
        <v/>
      </c>
      <c r="J38" s="9">
        <f>ANIMALS!R34</f>
        <v/>
      </c>
      <c r="K38" s="27">
        <f>IF($A38="","",AVERAGEIFS(PERFORMANCE!$F$2:$F$1000,PERFORMANCE!$C$2:$C$1000,$A38,PERFORMANCE!$E$2:$E$1000,"FAMACHA",PERFORMANCE!$B$2:$B$1000,$B$3))</f>
        <v/>
      </c>
      <c r="L38" s="7">
        <f>IF($A38="","",AVERAGEIFS(PERFORMANCE!$F$2:$F$1000,PERFORMANCE!$C$2:$C$1000,$A38,PERFORMANCE!$E$2:$E$1000,"FEC",PERFORMANCE!$B$2:$B$1000,$B$3))</f>
        <v/>
      </c>
      <c r="M38" s="7">
        <f>IF($A38="","",COUNTIFS(PERFORMANCE!$C$2:$C$1000,$A38,PERFORMANCE!$E$2:$E$1000,"DEWORM",PERFORMANCE!$B$2:$B$1000,$B$3))</f>
        <v/>
      </c>
      <c r="N38" s="29">
        <f>IF($A38="","",AVERAGEIFS(REPRODUCTION!$E$2:$E$1000,REPRODUCTION!$B$2:$B$1000,$A38,REPRODUCTION!$A$2:$A$1000,$B$3))</f>
        <v/>
      </c>
      <c r="O38" s="27">
        <f>IF($A38="","",AVERAGEIFS(PERFORMANCE!$F$2:$F$1000,PERFORMANCE!$C$2:$C$1000,$A38,PERFORMANCE!$E$2:$E$1000,"WEAN_WT",PERFORMANCE!$B$2:$B$1000,$B$3))</f>
        <v/>
      </c>
      <c r="P38" s="25">
        <f>IF($A38="","",AVERAGEIFS(PERFORMANCE!$F$2:$F$1000,PERFORMANCE!$C$2:$C$1000,$A38,PERFORMANCE!$E$2:$E$1000,"ADG",PERFORMANCE!$B$2:$B$1000,$B$3))</f>
        <v/>
      </c>
      <c r="Q38" s="27">
        <f>IF($A38="","",AVERAGEIFS(PERFORMANCE!$F$2:$F$1000,PERFORMANCE!$C$2:$C$1000,$A38,PERFORMANCE!$E$2:$E$1000,"SHEDDING",PERFORMANCE!$B$2:$B$1000,$B$3))</f>
        <v/>
      </c>
      <c r="R38" s="25">
        <f>IF($K38="","",IF(VLOOKUP($E38,PEN_STATS!$A$2:$V$10,4,FALSE)=0,0,-($K38-VLOOKUP($E38,PEN_STATS!$A$2:$V$10,3,FALSE))/VLOOKUP($E38,PEN_STATS!$A$2:$V$10,4,FALSE)))</f>
        <v/>
      </c>
      <c r="S38" s="25">
        <f>IF($L38="","",IF(VLOOKUP($E38,PEN_STATS!$A$2:$V$10,7,FALSE)=0,0,-($L38-VLOOKUP($E38,PEN_STATS!$A$2:$V$10,6,FALSE))/VLOOKUP($E38,PEN_STATS!$A$2:$V$10,7,FALSE)))</f>
        <v/>
      </c>
      <c r="T38" s="25">
        <f>IF($M38="","",IF(VLOOKUP($E38,PEN_STATS!$A$2:$V$10,10,FALSE)=0,0,-($M38-VLOOKUP($E38,PEN_STATS!$A$2:$V$10,9,FALSE))/VLOOKUP($E38,PEN_STATS!$A$2:$V$10,10,FALSE)))</f>
        <v/>
      </c>
      <c r="U38" s="25">
        <f>IF($N38="","",IF(VLOOKUP($E38,PEN_STATS!$A$2:$V$10,13,FALSE)=0,0,($N38-VLOOKUP($E38,PEN_STATS!$A$2:$V$10,12,FALSE))/VLOOKUP($E38,PEN_STATS!$A$2:$V$10,13,FALSE)))</f>
        <v/>
      </c>
      <c r="V38" s="25">
        <f>IF($O38="","",IF(VLOOKUP($E38,PEN_STATS!$A$2:$V$10,16,FALSE)=0,0,($O38-VLOOKUP($E38,PEN_STATS!$A$2:$V$10,15,FALSE))/VLOOKUP($E38,PEN_STATS!$A$2:$V$10,16,FALSE)))</f>
        <v/>
      </c>
      <c r="W38" s="25">
        <f>IF($P38="","",IF(VLOOKUP($E38,PEN_STATS!$A$2:$V$10,19,FALSE)=0,0,($P38-VLOOKUP($E38,PEN_STATS!$A$2:$V$10,18,FALSE))/VLOOKUP($E38,PEN_STATS!$A$2:$V$10,19,FALSE)))</f>
        <v/>
      </c>
      <c r="X38" s="25">
        <f>IF($Q38="","",IF(VLOOKUP($E38,PEN_STATS!$A$2:$V$10,22,FALSE)=0,0,($Q38-VLOOKUP($E38,PEN_STATS!$A$2:$V$10,21,FALSE))/VLOOKUP($E38,PEN_STATS!$A$2:$V$10,22,FALSE)))</f>
        <v/>
      </c>
      <c r="Y38" s="25">
        <f>IF($A38="","",'WEIGHTS_&amp;_RULES'!$B$12*$R38+'WEIGHTS_&amp;_RULES'!$B$13*$S38+'WEIGHTS_&amp;_RULES'!$B$14*$T38+'WEIGHTS_&amp;_RULES'!$B$15*$U38)</f>
        <v/>
      </c>
      <c r="Z38" s="25">
        <f>IF($A38="","",'WEIGHTS_&amp;_RULES'!$B$19*$V38+'WEIGHTS_&amp;_RULES'!$B$20*$W38)</f>
        <v/>
      </c>
      <c r="AA38" s="25">
        <f>IF($A38="","",'WEIGHTS_&amp;_RULES'!$B$24*$X38)</f>
        <v/>
      </c>
      <c r="AB38" s="25">
        <f>IF($A38="","",'WEIGHTS_&amp;_RULES'!$B$7*$Y38+'WEIGHTS_&amp;_RULES'!$B$8*$Z38+'WEIGHTS_&amp;_RULES'!$B$9*$AA38)</f>
        <v/>
      </c>
    </row>
    <row r="39">
      <c r="A39" s="9">
        <f>ANIMALS!A35</f>
        <v/>
      </c>
      <c r="B39" s="9">
        <f>ANIMALS!B35</f>
        <v/>
      </c>
      <c r="C39" s="9">
        <f>ANIMALS!D35</f>
        <v/>
      </c>
      <c r="D39" s="9">
        <f>ANIMALS!G35</f>
        <v/>
      </c>
      <c r="E39" s="9">
        <f>ANIMALS!H35</f>
        <v/>
      </c>
      <c r="F39" s="9">
        <f>ANIMALS!I35</f>
        <v/>
      </c>
      <c r="G39" s="9">
        <f>ANIMALS!O35</f>
        <v/>
      </c>
      <c r="H39" s="9">
        <f>ANIMALS!P35</f>
        <v/>
      </c>
      <c r="I39" s="9">
        <f>ANIMALS!Q35</f>
        <v/>
      </c>
      <c r="J39" s="9">
        <f>ANIMALS!R35</f>
        <v/>
      </c>
      <c r="K39" s="27">
        <f>IF($A39="","",AVERAGEIFS(PERFORMANCE!$F$2:$F$1000,PERFORMANCE!$C$2:$C$1000,$A39,PERFORMANCE!$E$2:$E$1000,"FAMACHA",PERFORMANCE!$B$2:$B$1000,$B$3))</f>
        <v/>
      </c>
      <c r="L39" s="7">
        <f>IF($A39="","",AVERAGEIFS(PERFORMANCE!$F$2:$F$1000,PERFORMANCE!$C$2:$C$1000,$A39,PERFORMANCE!$E$2:$E$1000,"FEC",PERFORMANCE!$B$2:$B$1000,$B$3))</f>
        <v/>
      </c>
      <c r="M39" s="7">
        <f>IF($A39="","",COUNTIFS(PERFORMANCE!$C$2:$C$1000,$A39,PERFORMANCE!$E$2:$E$1000,"DEWORM",PERFORMANCE!$B$2:$B$1000,$B$3))</f>
        <v/>
      </c>
      <c r="N39" s="29">
        <f>IF($A39="","",AVERAGEIFS(REPRODUCTION!$E$2:$E$1000,REPRODUCTION!$B$2:$B$1000,$A39,REPRODUCTION!$A$2:$A$1000,$B$3))</f>
        <v/>
      </c>
      <c r="O39" s="27">
        <f>IF($A39="","",AVERAGEIFS(PERFORMANCE!$F$2:$F$1000,PERFORMANCE!$C$2:$C$1000,$A39,PERFORMANCE!$E$2:$E$1000,"WEAN_WT",PERFORMANCE!$B$2:$B$1000,$B$3))</f>
        <v/>
      </c>
      <c r="P39" s="25">
        <f>IF($A39="","",AVERAGEIFS(PERFORMANCE!$F$2:$F$1000,PERFORMANCE!$C$2:$C$1000,$A39,PERFORMANCE!$E$2:$E$1000,"ADG",PERFORMANCE!$B$2:$B$1000,$B$3))</f>
        <v/>
      </c>
      <c r="Q39" s="27">
        <f>IF($A39="","",AVERAGEIFS(PERFORMANCE!$F$2:$F$1000,PERFORMANCE!$C$2:$C$1000,$A39,PERFORMANCE!$E$2:$E$1000,"SHEDDING",PERFORMANCE!$B$2:$B$1000,$B$3))</f>
        <v/>
      </c>
      <c r="R39" s="25">
        <f>IF($K39="","",IF(VLOOKUP($E39,PEN_STATS!$A$2:$V$10,4,FALSE)=0,0,-($K39-VLOOKUP($E39,PEN_STATS!$A$2:$V$10,3,FALSE))/VLOOKUP($E39,PEN_STATS!$A$2:$V$10,4,FALSE)))</f>
        <v/>
      </c>
      <c r="S39" s="25">
        <f>IF($L39="","",IF(VLOOKUP($E39,PEN_STATS!$A$2:$V$10,7,FALSE)=0,0,-($L39-VLOOKUP($E39,PEN_STATS!$A$2:$V$10,6,FALSE))/VLOOKUP($E39,PEN_STATS!$A$2:$V$10,7,FALSE)))</f>
        <v/>
      </c>
      <c r="T39" s="25">
        <f>IF($M39="","",IF(VLOOKUP($E39,PEN_STATS!$A$2:$V$10,10,FALSE)=0,0,-($M39-VLOOKUP($E39,PEN_STATS!$A$2:$V$10,9,FALSE))/VLOOKUP($E39,PEN_STATS!$A$2:$V$10,10,FALSE)))</f>
        <v/>
      </c>
      <c r="U39" s="25">
        <f>IF($N39="","",IF(VLOOKUP($E39,PEN_STATS!$A$2:$V$10,13,FALSE)=0,0,($N39-VLOOKUP($E39,PEN_STATS!$A$2:$V$10,12,FALSE))/VLOOKUP($E39,PEN_STATS!$A$2:$V$10,13,FALSE)))</f>
        <v/>
      </c>
      <c r="V39" s="25">
        <f>IF($O39="","",IF(VLOOKUP($E39,PEN_STATS!$A$2:$V$10,16,FALSE)=0,0,($O39-VLOOKUP($E39,PEN_STATS!$A$2:$V$10,15,FALSE))/VLOOKUP($E39,PEN_STATS!$A$2:$V$10,16,FALSE)))</f>
        <v/>
      </c>
      <c r="W39" s="25">
        <f>IF($P39="","",IF(VLOOKUP($E39,PEN_STATS!$A$2:$V$10,19,FALSE)=0,0,($P39-VLOOKUP($E39,PEN_STATS!$A$2:$V$10,18,FALSE))/VLOOKUP($E39,PEN_STATS!$A$2:$V$10,19,FALSE)))</f>
        <v/>
      </c>
      <c r="X39" s="25">
        <f>IF($Q39="","",IF(VLOOKUP($E39,PEN_STATS!$A$2:$V$10,22,FALSE)=0,0,($Q39-VLOOKUP($E39,PEN_STATS!$A$2:$V$10,21,FALSE))/VLOOKUP($E39,PEN_STATS!$A$2:$V$10,22,FALSE)))</f>
        <v/>
      </c>
      <c r="Y39" s="25">
        <f>IF($A39="","",'WEIGHTS_&amp;_RULES'!$B$12*$R39+'WEIGHTS_&amp;_RULES'!$B$13*$S39+'WEIGHTS_&amp;_RULES'!$B$14*$T39+'WEIGHTS_&amp;_RULES'!$B$15*$U39)</f>
        <v/>
      </c>
      <c r="Z39" s="25">
        <f>IF($A39="","",'WEIGHTS_&amp;_RULES'!$B$19*$V39+'WEIGHTS_&amp;_RULES'!$B$20*$W39)</f>
        <v/>
      </c>
      <c r="AA39" s="25">
        <f>IF($A39="","",'WEIGHTS_&amp;_RULES'!$B$24*$X39)</f>
        <v/>
      </c>
      <c r="AB39" s="25">
        <f>IF($A39="","",'WEIGHTS_&amp;_RULES'!$B$7*$Y39+'WEIGHTS_&amp;_RULES'!$B$8*$Z39+'WEIGHTS_&amp;_RULES'!$B$9*$AA39)</f>
        <v/>
      </c>
    </row>
    <row r="40">
      <c r="A40" s="9">
        <f>ANIMALS!A36</f>
        <v/>
      </c>
      <c r="B40" s="9">
        <f>ANIMALS!B36</f>
        <v/>
      </c>
      <c r="C40" s="9">
        <f>ANIMALS!D36</f>
        <v/>
      </c>
      <c r="D40" s="9">
        <f>ANIMALS!G36</f>
        <v/>
      </c>
      <c r="E40" s="9">
        <f>ANIMALS!H36</f>
        <v/>
      </c>
      <c r="F40" s="9">
        <f>ANIMALS!I36</f>
        <v/>
      </c>
      <c r="G40" s="9">
        <f>ANIMALS!O36</f>
        <v/>
      </c>
      <c r="H40" s="9">
        <f>ANIMALS!P36</f>
        <v/>
      </c>
      <c r="I40" s="9">
        <f>ANIMALS!Q36</f>
        <v/>
      </c>
      <c r="J40" s="9">
        <f>ANIMALS!R36</f>
        <v/>
      </c>
      <c r="K40" s="27">
        <f>IF($A40="","",AVERAGEIFS(PERFORMANCE!$F$2:$F$1000,PERFORMANCE!$C$2:$C$1000,$A40,PERFORMANCE!$E$2:$E$1000,"FAMACHA",PERFORMANCE!$B$2:$B$1000,$B$3))</f>
        <v/>
      </c>
      <c r="L40" s="7">
        <f>IF($A40="","",AVERAGEIFS(PERFORMANCE!$F$2:$F$1000,PERFORMANCE!$C$2:$C$1000,$A40,PERFORMANCE!$E$2:$E$1000,"FEC",PERFORMANCE!$B$2:$B$1000,$B$3))</f>
        <v/>
      </c>
      <c r="M40" s="7">
        <f>IF($A40="","",COUNTIFS(PERFORMANCE!$C$2:$C$1000,$A40,PERFORMANCE!$E$2:$E$1000,"DEWORM",PERFORMANCE!$B$2:$B$1000,$B$3))</f>
        <v/>
      </c>
      <c r="N40" s="29">
        <f>IF($A40="","",AVERAGEIFS(REPRODUCTION!$E$2:$E$1000,REPRODUCTION!$B$2:$B$1000,$A40,REPRODUCTION!$A$2:$A$1000,$B$3))</f>
        <v/>
      </c>
      <c r="O40" s="27">
        <f>IF($A40="","",AVERAGEIFS(PERFORMANCE!$F$2:$F$1000,PERFORMANCE!$C$2:$C$1000,$A40,PERFORMANCE!$E$2:$E$1000,"WEAN_WT",PERFORMANCE!$B$2:$B$1000,$B$3))</f>
        <v/>
      </c>
      <c r="P40" s="25">
        <f>IF($A40="","",AVERAGEIFS(PERFORMANCE!$F$2:$F$1000,PERFORMANCE!$C$2:$C$1000,$A40,PERFORMANCE!$E$2:$E$1000,"ADG",PERFORMANCE!$B$2:$B$1000,$B$3))</f>
        <v/>
      </c>
      <c r="Q40" s="27">
        <f>IF($A40="","",AVERAGEIFS(PERFORMANCE!$F$2:$F$1000,PERFORMANCE!$C$2:$C$1000,$A40,PERFORMANCE!$E$2:$E$1000,"SHEDDING",PERFORMANCE!$B$2:$B$1000,$B$3))</f>
        <v/>
      </c>
      <c r="R40" s="25">
        <f>IF($K40="","",IF(VLOOKUP($E40,PEN_STATS!$A$2:$V$10,4,FALSE)=0,0,-($K40-VLOOKUP($E40,PEN_STATS!$A$2:$V$10,3,FALSE))/VLOOKUP($E40,PEN_STATS!$A$2:$V$10,4,FALSE)))</f>
        <v/>
      </c>
      <c r="S40" s="25">
        <f>IF($L40="","",IF(VLOOKUP($E40,PEN_STATS!$A$2:$V$10,7,FALSE)=0,0,-($L40-VLOOKUP($E40,PEN_STATS!$A$2:$V$10,6,FALSE))/VLOOKUP($E40,PEN_STATS!$A$2:$V$10,7,FALSE)))</f>
        <v/>
      </c>
      <c r="T40" s="25">
        <f>IF($M40="","",IF(VLOOKUP($E40,PEN_STATS!$A$2:$V$10,10,FALSE)=0,0,-($M40-VLOOKUP($E40,PEN_STATS!$A$2:$V$10,9,FALSE))/VLOOKUP($E40,PEN_STATS!$A$2:$V$10,10,FALSE)))</f>
        <v/>
      </c>
      <c r="U40" s="25">
        <f>IF($N40="","",IF(VLOOKUP($E40,PEN_STATS!$A$2:$V$10,13,FALSE)=0,0,($N40-VLOOKUP($E40,PEN_STATS!$A$2:$V$10,12,FALSE))/VLOOKUP($E40,PEN_STATS!$A$2:$V$10,13,FALSE)))</f>
        <v/>
      </c>
      <c r="V40" s="25">
        <f>IF($O40="","",IF(VLOOKUP($E40,PEN_STATS!$A$2:$V$10,16,FALSE)=0,0,($O40-VLOOKUP($E40,PEN_STATS!$A$2:$V$10,15,FALSE))/VLOOKUP($E40,PEN_STATS!$A$2:$V$10,16,FALSE)))</f>
        <v/>
      </c>
      <c r="W40" s="25">
        <f>IF($P40="","",IF(VLOOKUP($E40,PEN_STATS!$A$2:$V$10,19,FALSE)=0,0,($P40-VLOOKUP($E40,PEN_STATS!$A$2:$V$10,18,FALSE))/VLOOKUP($E40,PEN_STATS!$A$2:$V$10,19,FALSE)))</f>
        <v/>
      </c>
      <c r="X40" s="25">
        <f>IF($Q40="","",IF(VLOOKUP($E40,PEN_STATS!$A$2:$V$10,22,FALSE)=0,0,($Q40-VLOOKUP($E40,PEN_STATS!$A$2:$V$10,21,FALSE))/VLOOKUP($E40,PEN_STATS!$A$2:$V$10,22,FALSE)))</f>
        <v/>
      </c>
      <c r="Y40" s="25">
        <f>IF($A40="","",'WEIGHTS_&amp;_RULES'!$B$12*$R40+'WEIGHTS_&amp;_RULES'!$B$13*$S40+'WEIGHTS_&amp;_RULES'!$B$14*$T40+'WEIGHTS_&amp;_RULES'!$B$15*$U40)</f>
        <v/>
      </c>
      <c r="Z40" s="25">
        <f>IF($A40="","",'WEIGHTS_&amp;_RULES'!$B$19*$V40+'WEIGHTS_&amp;_RULES'!$B$20*$W40)</f>
        <v/>
      </c>
      <c r="AA40" s="25">
        <f>IF($A40="","",'WEIGHTS_&amp;_RULES'!$B$24*$X40)</f>
        <v/>
      </c>
      <c r="AB40" s="25">
        <f>IF($A40="","",'WEIGHTS_&amp;_RULES'!$B$7*$Y40+'WEIGHTS_&amp;_RULES'!$B$8*$Z40+'WEIGHTS_&amp;_RULES'!$B$9*$AA40)</f>
        <v/>
      </c>
    </row>
    <row r="41">
      <c r="A41" s="9">
        <f>ANIMALS!A37</f>
        <v/>
      </c>
      <c r="B41" s="9">
        <f>ANIMALS!B37</f>
        <v/>
      </c>
      <c r="C41" s="9">
        <f>ANIMALS!D37</f>
        <v/>
      </c>
      <c r="D41" s="9">
        <f>ANIMALS!G37</f>
        <v/>
      </c>
      <c r="E41" s="9">
        <f>ANIMALS!H37</f>
        <v/>
      </c>
      <c r="F41" s="9">
        <f>ANIMALS!I37</f>
        <v/>
      </c>
      <c r="G41" s="9">
        <f>ANIMALS!O37</f>
        <v/>
      </c>
      <c r="H41" s="9">
        <f>ANIMALS!P37</f>
        <v/>
      </c>
      <c r="I41" s="9">
        <f>ANIMALS!Q37</f>
        <v/>
      </c>
      <c r="J41" s="9">
        <f>ANIMALS!R37</f>
        <v/>
      </c>
      <c r="K41" s="27">
        <f>IF($A41="","",AVERAGEIFS(PERFORMANCE!$F$2:$F$1000,PERFORMANCE!$C$2:$C$1000,$A41,PERFORMANCE!$E$2:$E$1000,"FAMACHA",PERFORMANCE!$B$2:$B$1000,$B$3))</f>
        <v/>
      </c>
      <c r="L41" s="7">
        <f>IF($A41="","",AVERAGEIFS(PERFORMANCE!$F$2:$F$1000,PERFORMANCE!$C$2:$C$1000,$A41,PERFORMANCE!$E$2:$E$1000,"FEC",PERFORMANCE!$B$2:$B$1000,$B$3))</f>
        <v/>
      </c>
      <c r="M41" s="7">
        <f>IF($A41="","",COUNTIFS(PERFORMANCE!$C$2:$C$1000,$A41,PERFORMANCE!$E$2:$E$1000,"DEWORM",PERFORMANCE!$B$2:$B$1000,$B$3))</f>
        <v/>
      </c>
      <c r="N41" s="29">
        <f>IF($A41="","",AVERAGEIFS(REPRODUCTION!$E$2:$E$1000,REPRODUCTION!$B$2:$B$1000,$A41,REPRODUCTION!$A$2:$A$1000,$B$3))</f>
        <v/>
      </c>
      <c r="O41" s="27">
        <f>IF($A41="","",AVERAGEIFS(PERFORMANCE!$F$2:$F$1000,PERFORMANCE!$C$2:$C$1000,$A41,PERFORMANCE!$E$2:$E$1000,"WEAN_WT",PERFORMANCE!$B$2:$B$1000,$B$3))</f>
        <v/>
      </c>
      <c r="P41" s="25">
        <f>IF($A41="","",AVERAGEIFS(PERFORMANCE!$F$2:$F$1000,PERFORMANCE!$C$2:$C$1000,$A41,PERFORMANCE!$E$2:$E$1000,"ADG",PERFORMANCE!$B$2:$B$1000,$B$3))</f>
        <v/>
      </c>
      <c r="Q41" s="27">
        <f>IF($A41="","",AVERAGEIFS(PERFORMANCE!$F$2:$F$1000,PERFORMANCE!$C$2:$C$1000,$A41,PERFORMANCE!$E$2:$E$1000,"SHEDDING",PERFORMANCE!$B$2:$B$1000,$B$3))</f>
        <v/>
      </c>
      <c r="R41" s="25">
        <f>IF($K41="","",IF(VLOOKUP($E41,PEN_STATS!$A$2:$V$10,4,FALSE)=0,0,-($K41-VLOOKUP($E41,PEN_STATS!$A$2:$V$10,3,FALSE))/VLOOKUP($E41,PEN_STATS!$A$2:$V$10,4,FALSE)))</f>
        <v/>
      </c>
      <c r="S41" s="25">
        <f>IF($L41="","",IF(VLOOKUP($E41,PEN_STATS!$A$2:$V$10,7,FALSE)=0,0,-($L41-VLOOKUP($E41,PEN_STATS!$A$2:$V$10,6,FALSE))/VLOOKUP($E41,PEN_STATS!$A$2:$V$10,7,FALSE)))</f>
        <v/>
      </c>
      <c r="T41" s="25">
        <f>IF($M41="","",IF(VLOOKUP($E41,PEN_STATS!$A$2:$V$10,10,FALSE)=0,0,-($M41-VLOOKUP($E41,PEN_STATS!$A$2:$V$10,9,FALSE))/VLOOKUP($E41,PEN_STATS!$A$2:$V$10,10,FALSE)))</f>
        <v/>
      </c>
      <c r="U41" s="25">
        <f>IF($N41="","",IF(VLOOKUP($E41,PEN_STATS!$A$2:$V$10,13,FALSE)=0,0,($N41-VLOOKUP($E41,PEN_STATS!$A$2:$V$10,12,FALSE))/VLOOKUP($E41,PEN_STATS!$A$2:$V$10,13,FALSE)))</f>
        <v/>
      </c>
      <c r="V41" s="25">
        <f>IF($O41="","",IF(VLOOKUP($E41,PEN_STATS!$A$2:$V$10,16,FALSE)=0,0,($O41-VLOOKUP($E41,PEN_STATS!$A$2:$V$10,15,FALSE))/VLOOKUP($E41,PEN_STATS!$A$2:$V$10,16,FALSE)))</f>
        <v/>
      </c>
      <c r="W41" s="25">
        <f>IF($P41="","",IF(VLOOKUP($E41,PEN_STATS!$A$2:$V$10,19,FALSE)=0,0,($P41-VLOOKUP($E41,PEN_STATS!$A$2:$V$10,18,FALSE))/VLOOKUP($E41,PEN_STATS!$A$2:$V$10,19,FALSE)))</f>
        <v/>
      </c>
      <c r="X41" s="25">
        <f>IF($Q41="","",IF(VLOOKUP($E41,PEN_STATS!$A$2:$V$10,22,FALSE)=0,0,($Q41-VLOOKUP($E41,PEN_STATS!$A$2:$V$10,21,FALSE))/VLOOKUP($E41,PEN_STATS!$A$2:$V$10,22,FALSE)))</f>
        <v/>
      </c>
      <c r="Y41" s="25">
        <f>IF($A41="","",'WEIGHTS_&amp;_RULES'!$B$12*$R41+'WEIGHTS_&amp;_RULES'!$B$13*$S41+'WEIGHTS_&amp;_RULES'!$B$14*$T41+'WEIGHTS_&amp;_RULES'!$B$15*$U41)</f>
        <v/>
      </c>
      <c r="Z41" s="25">
        <f>IF($A41="","",'WEIGHTS_&amp;_RULES'!$B$19*$V41+'WEIGHTS_&amp;_RULES'!$B$20*$W41)</f>
        <v/>
      </c>
      <c r="AA41" s="25">
        <f>IF($A41="","",'WEIGHTS_&amp;_RULES'!$B$24*$X41)</f>
        <v/>
      </c>
      <c r="AB41" s="25">
        <f>IF($A41="","",'WEIGHTS_&amp;_RULES'!$B$7*$Y41+'WEIGHTS_&amp;_RULES'!$B$8*$Z41+'WEIGHTS_&amp;_RULES'!$B$9*$AA41)</f>
        <v/>
      </c>
    </row>
    <row r="42">
      <c r="A42" s="9">
        <f>ANIMALS!A38</f>
        <v/>
      </c>
      <c r="B42" s="9">
        <f>ANIMALS!B38</f>
        <v/>
      </c>
      <c r="C42" s="9">
        <f>ANIMALS!D38</f>
        <v/>
      </c>
      <c r="D42" s="9">
        <f>ANIMALS!G38</f>
        <v/>
      </c>
      <c r="E42" s="9">
        <f>ANIMALS!H38</f>
        <v/>
      </c>
      <c r="F42" s="9">
        <f>ANIMALS!I38</f>
        <v/>
      </c>
      <c r="G42" s="9">
        <f>ANIMALS!O38</f>
        <v/>
      </c>
      <c r="H42" s="9">
        <f>ANIMALS!P38</f>
        <v/>
      </c>
      <c r="I42" s="9">
        <f>ANIMALS!Q38</f>
        <v/>
      </c>
      <c r="J42" s="9">
        <f>ANIMALS!R38</f>
        <v/>
      </c>
      <c r="K42" s="27">
        <f>IF($A42="","",AVERAGEIFS(PERFORMANCE!$F$2:$F$1000,PERFORMANCE!$C$2:$C$1000,$A42,PERFORMANCE!$E$2:$E$1000,"FAMACHA",PERFORMANCE!$B$2:$B$1000,$B$3))</f>
        <v/>
      </c>
      <c r="L42" s="7">
        <f>IF($A42="","",AVERAGEIFS(PERFORMANCE!$F$2:$F$1000,PERFORMANCE!$C$2:$C$1000,$A42,PERFORMANCE!$E$2:$E$1000,"FEC",PERFORMANCE!$B$2:$B$1000,$B$3))</f>
        <v/>
      </c>
      <c r="M42" s="7">
        <f>IF($A42="","",COUNTIFS(PERFORMANCE!$C$2:$C$1000,$A42,PERFORMANCE!$E$2:$E$1000,"DEWORM",PERFORMANCE!$B$2:$B$1000,$B$3))</f>
        <v/>
      </c>
      <c r="N42" s="29">
        <f>IF($A42="","",AVERAGEIFS(REPRODUCTION!$E$2:$E$1000,REPRODUCTION!$B$2:$B$1000,$A42,REPRODUCTION!$A$2:$A$1000,$B$3))</f>
        <v/>
      </c>
      <c r="O42" s="27">
        <f>IF($A42="","",AVERAGEIFS(PERFORMANCE!$F$2:$F$1000,PERFORMANCE!$C$2:$C$1000,$A42,PERFORMANCE!$E$2:$E$1000,"WEAN_WT",PERFORMANCE!$B$2:$B$1000,$B$3))</f>
        <v/>
      </c>
      <c r="P42" s="25">
        <f>IF($A42="","",AVERAGEIFS(PERFORMANCE!$F$2:$F$1000,PERFORMANCE!$C$2:$C$1000,$A42,PERFORMANCE!$E$2:$E$1000,"ADG",PERFORMANCE!$B$2:$B$1000,$B$3))</f>
        <v/>
      </c>
      <c r="Q42" s="27">
        <f>IF($A42="","",AVERAGEIFS(PERFORMANCE!$F$2:$F$1000,PERFORMANCE!$C$2:$C$1000,$A42,PERFORMANCE!$E$2:$E$1000,"SHEDDING",PERFORMANCE!$B$2:$B$1000,$B$3))</f>
        <v/>
      </c>
      <c r="R42" s="25">
        <f>IF($K42="","",IF(VLOOKUP($E42,PEN_STATS!$A$2:$V$10,4,FALSE)=0,0,-($K42-VLOOKUP($E42,PEN_STATS!$A$2:$V$10,3,FALSE))/VLOOKUP($E42,PEN_STATS!$A$2:$V$10,4,FALSE)))</f>
        <v/>
      </c>
      <c r="S42" s="25">
        <f>IF($L42="","",IF(VLOOKUP($E42,PEN_STATS!$A$2:$V$10,7,FALSE)=0,0,-($L42-VLOOKUP($E42,PEN_STATS!$A$2:$V$10,6,FALSE))/VLOOKUP($E42,PEN_STATS!$A$2:$V$10,7,FALSE)))</f>
        <v/>
      </c>
      <c r="T42" s="25">
        <f>IF($M42="","",IF(VLOOKUP($E42,PEN_STATS!$A$2:$V$10,10,FALSE)=0,0,-($M42-VLOOKUP($E42,PEN_STATS!$A$2:$V$10,9,FALSE))/VLOOKUP($E42,PEN_STATS!$A$2:$V$10,10,FALSE)))</f>
        <v/>
      </c>
      <c r="U42" s="25">
        <f>IF($N42="","",IF(VLOOKUP($E42,PEN_STATS!$A$2:$V$10,13,FALSE)=0,0,($N42-VLOOKUP($E42,PEN_STATS!$A$2:$V$10,12,FALSE))/VLOOKUP($E42,PEN_STATS!$A$2:$V$10,13,FALSE)))</f>
        <v/>
      </c>
      <c r="V42" s="25">
        <f>IF($O42="","",IF(VLOOKUP($E42,PEN_STATS!$A$2:$V$10,16,FALSE)=0,0,($O42-VLOOKUP($E42,PEN_STATS!$A$2:$V$10,15,FALSE))/VLOOKUP($E42,PEN_STATS!$A$2:$V$10,16,FALSE)))</f>
        <v/>
      </c>
      <c r="W42" s="25">
        <f>IF($P42="","",IF(VLOOKUP($E42,PEN_STATS!$A$2:$V$10,19,FALSE)=0,0,($P42-VLOOKUP($E42,PEN_STATS!$A$2:$V$10,18,FALSE))/VLOOKUP($E42,PEN_STATS!$A$2:$V$10,19,FALSE)))</f>
        <v/>
      </c>
      <c r="X42" s="25">
        <f>IF($Q42="","",IF(VLOOKUP($E42,PEN_STATS!$A$2:$V$10,22,FALSE)=0,0,($Q42-VLOOKUP($E42,PEN_STATS!$A$2:$V$10,21,FALSE))/VLOOKUP($E42,PEN_STATS!$A$2:$V$10,22,FALSE)))</f>
        <v/>
      </c>
      <c r="Y42" s="25">
        <f>IF($A42="","",'WEIGHTS_&amp;_RULES'!$B$12*$R42+'WEIGHTS_&amp;_RULES'!$B$13*$S42+'WEIGHTS_&amp;_RULES'!$B$14*$T42+'WEIGHTS_&amp;_RULES'!$B$15*$U42)</f>
        <v/>
      </c>
      <c r="Z42" s="25">
        <f>IF($A42="","",'WEIGHTS_&amp;_RULES'!$B$19*$V42+'WEIGHTS_&amp;_RULES'!$B$20*$W42)</f>
        <v/>
      </c>
      <c r="AA42" s="25">
        <f>IF($A42="","",'WEIGHTS_&amp;_RULES'!$B$24*$X42)</f>
        <v/>
      </c>
      <c r="AB42" s="25">
        <f>IF($A42="","",'WEIGHTS_&amp;_RULES'!$B$7*$Y42+'WEIGHTS_&amp;_RULES'!$B$8*$Z42+'WEIGHTS_&amp;_RULES'!$B$9*$AA42)</f>
        <v/>
      </c>
    </row>
    <row r="43">
      <c r="A43" s="9">
        <f>ANIMALS!A39</f>
        <v/>
      </c>
      <c r="B43" s="9">
        <f>ANIMALS!B39</f>
        <v/>
      </c>
      <c r="C43" s="9">
        <f>ANIMALS!D39</f>
        <v/>
      </c>
      <c r="D43" s="9">
        <f>ANIMALS!G39</f>
        <v/>
      </c>
      <c r="E43" s="9">
        <f>ANIMALS!H39</f>
        <v/>
      </c>
      <c r="F43" s="9">
        <f>ANIMALS!I39</f>
        <v/>
      </c>
      <c r="G43" s="9">
        <f>ANIMALS!O39</f>
        <v/>
      </c>
      <c r="H43" s="9">
        <f>ANIMALS!P39</f>
        <v/>
      </c>
      <c r="I43" s="9">
        <f>ANIMALS!Q39</f>
        <v/>
      </c>
      <c r="J43" s="9">
        <f>ANIMALS!R39</f>
        <v/>
      </c>
      <c r="K43" s="27">
        <f>IF($A43="","",AVERAGEIFS(PERFORMANCE!$F$2:$F$1000,PERFORMANCE!$C$2:$C$1000,$A43,PERFORMANCE!$E$2:$E$1000,"FAMACHA",PERFORMANCE!$B$2:$B$1000,$B$3))</f>
        <v/>
      </c>
      <c r="L43" s="7">
        <f>IF($A43="","",AVERAGEIFS(PERFORMANCE!$F$2:$F$1000,PERFORMANCE!$C$2:$C$1000,$A43,PERFORMANCE!$E$2:$E$1000,"FEC",PERFORMANCE!$B$2:$B$1000,$B$3))</f>
        <v/>
      </c>
      <c r="M43" s="7">
        <f>IF($A43="","",COUNTIFS(PERFORMANCE!$C$2:$C$1000,$A43,PERFORMANCE!$E$2:$E$1000,"DEWORM",PERFORMANCE!$B$2:$B$1000,$B$3))</f>
        <v/>
      </c>
      <c r="N43" s="29">
        <f>IF($A43="","",AVERAGEIFS(REPRODUCTION!$E$2:$E$1000,REPRODUCTION!$B$2:$B$1000,$A43,REPRODUCTION!$A$2:$A$1000,$B$3))</f>
        <v/>
      </c>
      <c r="O43" s="27">
        <f>IF($A43="","",AVERAGEIFS(PERFORMANCE!$F$2:$F$1000,PERFORMANCE!$C$2:$C$1000,$A43,PERFORMANCE!$E$2:$E$1000,"WEAN_WT",PERFORMANCE!$B$2:$B$1000,$B$3))</f>
        <v/>
      </c>
      <c r="P43" s="25">
        <f>IF($A43="","",AVERAGEIFS(PERFORMANCE!$F$2:$F$1000,PERFORMANCE!$C$2:$C$1000,$A43,PERFORMANCE!$E$2:$E$1000,"ADG",PERFORMANCE!$B$2:$B$1000,$B$3))</f>
        <v/>
      </c>
      <c r="Q43" s="27">
        <f>IF($A43="","",AVERAGEIFS(PERFORMANCE!$F$2:$F$1000,PERFORMANCE!$C$2:$C$1000,$A43,PERFORMANCE!$E$2:$E$1000,"SHEDDING",PERFORMANCE!$B$2:$B$1000,$B$3))</f>
        <v/>
      </c>
      <c r="R43" s="25">
        <f>IF($K43="","",IF(VLOOKUP($E43,PEN_STATS!$A$2:$V$10,4,FALSE)=0,0,-($K43-VLOOKUP($E43,PEN_STATS!$A$2:$V$10,3,FALSE))/VLOOKUP($E43,PEN_STATS!$A$2:$V$10,4,FALSE)))</f>
        <v/>
      </c>
      <c r="S43" s="25">
        <f>IF($L43="","",IF(VLOOKUP($E43,PEN_STATS!$A$2:$V$10,7,FALSE)=0,0,-($L43-VLOOKUP($E43,PEN_STATS!$A$2:$V$10,6,FALSE))/VLOOKUP($E43,PEN_STATS!$A$2:$V$10,7,FALSE)))</f>
        <v/>
      </c>
      <c r="T43" s="25">
        <f>IF($M43="","",IF(VLOOKUP($E43,PEN_STATS!$A$2:$V$10,10,FALSE)=0,0,-($M43-VLOOKUP($E43,PEN_STATS!$A$2:$V$10,9,FALSE))/VLOOKUP($E43,PEN_STATS!$A$2:$V$10,10,FALSE)))</f>
        <v/>
      </c>
      <c r="U43" s="25">
        <f>IF($N43="","",IF(VLOOKUP($E43,PEN_STATS!$A$2:$V$10,13,FALSE)=0,0,($N43-VLOOKUP($E43,PEN_STATS!$A$2:$V$10,12,FALSE))/VLOOKUP($E43,PEN_STATS!$A$2:$V$10,13,FALSE)))</f>
        <v/>
      </c>
      <c r="V43" s="25">
        <f>IF($O43="","",IF(VLOOKUP($E43,PEN_STATS!$A$2:$V$10,16,FALSE)=0,0,($O43-VLOOKUP($E43,PEN_STATS!$A$2:$V$10,15,FALSE))/VLOOKUP($E43,PEN_STATS!$A$2:$V$10,16,FALSE)))</f>
        <v/>
      </c>
      <c r="W43" s="25">
        <f>IF($P43="","",IF(VLOOKUP($E43,PEN_STATS!$A$2:$V$10,19,FALSE)=0,0,($P43-VLOOKUP($E43,PEN_STATS!$A$2:$V$10,18,FALSE))/VLOOKUP($E43,PEN_STATS!$A$2:$V$10,19,FALSE)))</f>
        <v/>
      </c>
      <c r="X43" s="25">
        <f>IF($Q43="","",IF(VLOOKUP($E43,PEN_STATS!$A$2:$V$10,22,FALSE)=0,0,($Q43-VLOOKUP($E43,PEN_STATS!$A$2:$V$10,21,FALSE))/VLOOKUP($E43,PEN_STATS!$A$2:$V$10,22,FALSE)))</f>
        <v/>
      </c>
      <c r="Y43" s="25">
        <f>IF($A43="","",'WEIGHTS_&amp;_RULES'!$B$12*$R43+'WEIGHTS_&amp;_RULES'!$B$13*$S43+'WEIGHTS_&amp;_RULES'!$B$14*$T43+'WEIGHTS_&amp;_RULES'!$B$15*$U43)</f>
        <v/>
      </c>
      <c r="Z43" s="25">
        <f>IF($A43="","",'WEIGHTS_&amp;_RULES'!$B$19*$V43+'WEIGHTS_&amp;_RULES'!$B$20*$W43)</f>
        <v/>
      </c>
      <c r="AA43" s="25">
        <f>IF($A43="","",'WEIGHTS_&amp;_RULES'!$B$24*$X43)</f>
        <v/>
      </c>
      <c r="AB43" s="25">
        <f>IF($A43="","",'WEIGHTS_&amp;_RULES'!$B$7*$Y43+'WEIGHTS_&amp;_RULES'!$B$8*$Z43+'WEIGHTS_&amp;_RULES'!$B$9*$AA43)</f>
        <v/>
      </c>
    </row>
    <row r="44">
      <c r="A44" s="9">
        <f>ANIMALS!A40</f>
        <v/>
      </c>
      <c r="B44" s="9">
        <f>ANIMALS!B40</f>
        <v/>
      </c>
      <c r="C44" s="9">
        <f>ANIMALS!D40</f>
        <v/>
      </c>
      <c r="D44" s="9">
        <f>ANIMALS!G40</f>
        <v/>
      </c>
      <c r="E44" s="9">
        <f>ANIMALS!H40</f>
        <v/>
      </c>
      <c r="F44" s="9">
        <f>ANIMALS!I40</f>
        <v/>
      </c>
      <c r="G44" s="9">
        <f>ANIMALS!O40</f>
        <v/>
      </c>
      <c r="H44" s="9">
        <f>ANIMALS!P40</f>
        <v/>
      </c>
      <c r="I44" s="9">
        <f>ANIMALS!Q40</f>
        <v/>
      </c>
      <c r="J44" s="9">
        <f>ANIMALS!R40</f>
        <v/>
      </c>
      <c r="K44" s="27">
        <f>IF($A44="","",AVERAGEIFS(PERFORMANCE!$F$2:$F$1000,PERFORMANCE!$C$2:$C$1000,$A44,PERFORMANCE!$E$2:$E$1000,"FAMACHA",PERFORMANCE!$B$2:$B$1000,$B$3))</f>
        <v/>
      </c>
      <c r="L44" s="7">
        <f>IF($A44="","",AVERAGEIFS(PERFORMANCE!$F$2:$F$1000,PERFORMANCE!$C$2:$C$1000,$A44,PERFORMANCE!$E$2:$E$1000,"FEC",PERFORMANCE!$B$2:$B$1000,$B$3))</f>
        <v/>
      </c>
      <c r="M44" s="7">
        <f>IF($A44="","",COUNTIFS(PERFORMANCE!$C$2:$C$1000,$A44,PERFORMANCE!$E$2:$E$1000,"DEWORM",PERFORMANCE!$B$2:$B$1000,$B$3))</f>
        <v/>
      </c>
      <c r="N44" s="29">
        <f>IF($A44="","",AVERAGEIFS(REPRODUCTION!$E$2:$E$1000,REPRODUCTION!$B$2:$B$1000,$A44,REPRODUCTION!$A$2:$A$1000,$B$3))</f>
        <v/>
      </c>
      <c r="O44" s="27">
        <f>IF($A44="","",AVERAGEIFS(PERFORMANCE!$F$2:$F$1000,PERFORMANCE!$C$2:$C$1000,$A44,PERFORMANCE!$E$2:$E$1000,"WEAN_WT",PERFORMANCE!$B$2:$B$1000,$B$3))</f>
        <v/>
      </c>
      <c r="P44" s="25">
        <f>IF($A44="","",AVERAGEIFS(PERFORMANCE!$F$2:$F$1000,PERFORMANCE!$C$2:$C$1000,$A44,PERFORMANCE!$E$2:$E$1000,"ADG",PERFORMANCE!$B$2:$B$1000,$B$3))</f>
        <v/>
      </c>
      <c r="Q44" s="27">
        <f>IF($A44="","",AVERAGEIFS(PERFORMANCE!$F$2:$F$1000,PERFORMANCE!$C$2:$C$1000,$A44,PERFORMANCE!$E$2:$E$1000,"SHEDDING",PERFORMANCE!$B$2:$B$1000,$B$3))</f>
        <v/>
      </c>
      <c r="R44" s="25">
        <f>IF($K44="","",IF(VLOOKUP($E44,PEN_STATS!$A$2:$V$10,4,FALSE)=0,0,-($K44-VLOOKUP($E44,PEN_STATS!$A$2:$V$10,3,FALSE))/VLOOKUP($E44,PEN_STATS!$A$2:$V$10,4,FALSE)))</f>
        <v/>
      </c>
      <c r="S44" s="25">
        <f>IF($L44="","",IF(VLOOKUP($E44,PEN_STATS!$A$2:$V$10,7,FALSE)=0,0,-($L44-VLOOKUP($E44,PEN_STATS!$A$2:$V$10,6,FALSE))/VLOOKUP($E44,PEN_STATS!$A$2:$V$10,7,FALSE)))</f>
        <v/>
      </c>
      <c r="T44" s="25">
        <f>IF($M44="","",IF(VLOOKUP($E44,PEN_STATS!$A$2:$V$10,10,FALSE)=0,0,-($M44-VLOOKUP($E44,PEN_STATS!$A$2:$V$10,9,FALSE))/VLOOKUP($E44,PEN_STATS!$A$2:$V$10,10,FALSE)))</f>
        <v/>
      </c>
      <c r="U44" s="25">
        <f>IF($N44="","",IF(VLOOKUP($E44,PEN_STATS!$A$2:$V$10,13,FALSE)=0,0,($N44-VLOOKUP($E44,PEN_STATS!$A$2:$V$10,12,FALSE))/VLOOKUP($E44,PEN_STATS!$A$2:$V$10,13,FALSE)))</f>
        <v/>
      </c>
      <c r="V44" s="25">
        <f>IF($O44="","",IF(VLOOKUP($E44,PEN_STATS!$A$2:$V$10,16,FALSE)=0,0,($O44-VLOOKUP($E44,PEN_STATS!$A$2:$V$10,15,FALSE))/VLOOKUP($E44,PEN_STATS!$A$2:$V$10,16,FALSE)))</f>
        <v/>
      </c>
      <c r="W44" s="25">
        <f>IF($P44="","",IF(VLOOKUP($E44,PEN_STATS!$A$2:$V$10,19,FALSE)=0,0,($P44-VLOOKUP($E44,PEN_STATS!$A$2:$V$10,18,FALSE))/VLOOKUP($E44,PEN_STATS!$A$2:$V$10,19,FALSE)))</f>
        <v/>
      </c>
      <c r="X44" s="25">
        <f>IF($Q44="","",IF(VLOOKUP($E44,PEN_STATS!$A$2:$V$10,22,FALSE)=0,0,($Q44-VLOOKUP($E44,PEN_STATS!$A$2:$V$10,21,FALSE))/VLOOKUP($E44,PEN_STATS!$A$2:$V$10,22,FALSE)))</f>
        <v/>
      </c>
      <c r="Y44" s="25">
        <f>IF($A44="","",'WEIGHTS_&amp;_RULES'!$B$12*$R44+'WEIGHTS_&amp;_RULES'!$B$13*$S44+'WEIGHTS_&amp;_RULES'!$B$14*$T44+'WEIGHTS_&amp;_RULES'!$B$15*$U44)</f>
        <v/>
      </c>
      <c r="Z44" s="25">
        <f>IF($A44="","",'WEIGHTS_&amp;_RULES'!$B$19*$V44+'WEIGHTS_&amp;_RULES'!$B$20*$W44)</f>
        <v/>
      </c>
      <c r="AA44" s="25">
        <f>IF($A44="","",'WEIGHTS_&amp;_RULES'!$B$24*$X44)</f>
        <v/>
      </c>
      <c r="AB44" s="25">
        <f>IF($A44="","",'WEIGHTS_&amp;_RULES'!$B$7*$Y44+'WEIGHTS_&amp;_RULES'!$B$8*$Z44+'WEIGHTS_&amp;_RULES'!$B$9*$AA44)</f>
        <v/>
      </c>
    </row>
    <row r="45">
      <c r="A45" s="9">
        <f>ANIMALS!A41</f>
        <v/>
      </c>
      <c r="B45" s="9">
        <f>ANIMALS!B41</f>
        <v/>
      </c>
      <c r="C45" s="9">
        <f>ANIMALS!D41</f>
        <v/>
      </c>
      <c r="D45" s="9">
        <f>ANIMALS!G41</f>
        <v/>
      </c>
      <c r="E45" s="9">
        <f>ANIMALS!H41</f>
        <v/>
      </c>
      <c r="F45" s="9">
        <f>ANIMALS!I41</f>
        <v/>
      </c>
      <c r="G45" s="9">
        <f>ANIMALS!O41</f>
        <v/>
      </c>
      <c r="H45" s="9">
        <f>ANIMALS!P41</f>
        <v/>
      </c>
      <c r="I45" s="9">
        <f>ANIMALS!Q41</f>
        <v/>
      </c>
      <c r="J45" s="9">
        <f>ANIMALS!R41</f>
        <v/>
      </c>
      <c r="K45" s="27">
        <f>IF($A45="","",AVERAGEIFS(PERFORMANCE!$F$2:$F$1000,PERFORMANCE!$C$2:$C$1000,$A45,PERFORMANCE!$E$2:$E$1000,"FAMACHA",PERFORMANCE!$B$2:$B$1000,$B$3))</f>
        <v/>
      </c>
      <c r="L45" s="7">
        <f>IF($A45="","",AVERAGEIFS(PERFORMANCE!$F$2:$F$1000,PERFORMANCE!$C$2:$C$1000,$A45,PERFORMANCE!$E$2:$E$1000,"FEC",PERFORMANCE!$B$2:$B$1000,$B$3))</f>
        <v/>
      </c>
      <c r="M45" s="7">
        <f>IF($A45="","",COUNTIFS(PERFORMANCE!$C$2:$C$1000,$A45,PERFORMANCE!$E$2:$E$1000,"DEWORM",PERFORMANCE!$B$2:$B$1000,$B$3))</f>
        <v/>
      </c>
      <c r="N45" s="29">
        <f>IF($A45="","",AVERAGEIFS(REPRODUCTION!$E$2:$E$1000,REPRODUCTION!$B$2:$B$1000,$A45,REPRODUCTION!$A$2:$A$1000,$B$3))</f>
        <v/>
      </c>
      <c r="O45" s="27">
        <f>IF($A45="","",AVERAGEIFS(PERFORMANCE!$F$2:$F$1000,PERFORMANCE!$C$2:$C$1000,$A45,PERFORMANCE!$E$2:$E$1000,"WEAN_WT",PERFORMANCE!$B$2:$B$1000,$B$3))</f>
        <v/>
      </c>
      <c r="P45" s="25">
        <f>IF($A45="","",AVERAGEIFS(PERFORMANCE!$F$2:$F$1000,PERFORMANCE!$C$2:$C$1000,$A45,PERFORMANCE!$E$2:$E$1000,"ADG",PERFORMANCE!$B$2:$B$1000,$B$3))</f>
        <v/>
      </c>
      <c r="Q45" s="27">
        <f>IF($A45="","",AVERAGEIFS(PERFORMANCE!$F$2:$F$1000,PERFORMANCE!$C$2:$C$1000,$A45,PERFORMANCE!$E$2:$E$1000,"SHEDDING",PERFORMANCE!$B$2:$B$1000,$B$3))</f>
        <v/>
      </c>
      <c r="R45" s="25">
        <f>IF($K45="","",IF(VLOOKUP($E45,PEN_STATS!$A$2:$V$10,4,FALSE)=0,0,-($K45-VLOOKUP($E45,PEN_STATS!$A$2:$V$10,3,FALSE))/VLOOKUP($E45,PEN_STATS!$A$2:$V$10,4,FALSE)))</f>
        <v/>
      </c>
      <c r="S45" s="25">
        <f>IF($L45="","",IF(VLOOKUP($E45,PEN_STATS!$A$2:$V$10,7,FALSE)=0,0,-($L45-VLOOKUP($E45,PEN_STATS!$A$2:$V$10,6,FALSE))/VLOOKUP($E45,PEN_STATS!$A$2:$V$10,7,FALSE)))</f>
        <v/>
      </c>
      <c r="T45" s="25">
        <f>IF($M45="","",IF(VLOOKUP($E45,PEN_STATS!$A$2:$V$10,10,FALSE)=0,0,-($M45-VLOOKUP($E45,PEN_STATS!$A$2:$V$10,9,FALSE))/VLOOKUP($E45,PEN_STATS!$A$2:$V$10,10,FALSE)))</f>
        <v/>
      </c>
      <c r="U45" s="25">
        <f>IF($N45="","",IF(VLOOKUP($E45,PEN_STATS!$A$2:$V$10,13,FALSE)=0,0,($N45-VLOOKUP($E45,PEN_STATS!$A$2:$V$10,12,FALSE))/VLOOKUP($E45,PEN_STATS!$A$2:$V$10,13,FALSE)))</f>
        <v/>
      </c>
      <c r="V45" s="25">
        <f>IF($O45="","",IF(VLOOKUP($E45,PEN_STATS!$A$2:$V$10,16,FALSE)=0,0,($O45-VLOOKUP($E45,PEN_STATS!$A$2:$V$10,15,FALSE))/VLOOKUP($E45,PEN_STATS!$A$2:$V$10,16,FALSE)))</f>
        <v/>
      </c>
      <c r="W45" s="25">
        <f>IF($P45="","",IF(VLOOKUP($E45,PEN_STATS!$A$2:$V$10,19,FALSE)=0,0,($P45-VLOOKUP($E45,PEN_STATS!$A$2:$V$10,18,FALSE))/VLOOKUP($E45,PEN_STATS!$A$2:$V$10,19,FALSE)))</f>
        <v/>
      </c>
      <c r="X45" s="25">
        <f>IF($Q45="","",IF(VLOOKUP($E45,PEN_STATS!$A$2:$V$10,22,FALSE)=0,0,($Q45-VLOOKUP($E45,PEN_STATS!$A$2:$V$10,21,FALSE))/VLOOKUP($E45,PEN_STATS!$A$2:$V$10,22,FALSE)))</f>
        <v/>
      </c>
      <c r="Y45" s="25">
        <f>IF($A45="","",'WEIGHTS_&amp;_RULES'!$B$12*$R45+'WEIGHTS_&amp;_RULES'!$B$13*$S45+'WEIGHTS_&amp;_RULES'!$B$14*$T45+'WEIGHTS_&amp;_RULES'!$B$15*$U45)</f>
        <v/>
      </c>
      <c r="Z45" s="25">
        <f>IF($A45="","",'WEIGHTS_&amp;_RULES'!$B$19*$V45+'WEIGHTS_&amp;_RULES'!$B$20*$W45)</f>
        <v/>
      </c>
      <c r="AA45" s="25">
        <f>IF($A45="","",'WEIGHTS_&amp;_RULES'!$B$24*$X45)</f>
        <v/>
      </c>
      <c r="AB45" s="25">
        <f>IF($A45="","",'WEIGHTS_&amp;_RULES'!$B$7*$Y45+'WEIGHTS_&amp;_RULES'!$B$8*$Z45+'WEIGHTS_&amp;_RULES'!$B$9*$AA45)</f>
        <v/>
      </c>
    </row>
    <row r="46">
      <c r="A46" s="9">
        <f>ANIMALS!A42</f>
        <v/>
      </c>
      <c r="B46" s="9">
        <f>ANIMALS!B42</f>
        <v/>
      </c>
      <c r="C46" s="9">
        <f>ANIMALS!D42</f>
        <v/>
      </c>
      <c r="D46" s="9">
        <f>ANIMALS!G42</f>
        <v/>
      </c>
      <c r="E46" s="9">
        <f>ANIMALS!H42</f>
        <v/>
      </c>
      <c r="F46" s="9">
        <f>ANIMALS!I42</f>
        <v/>
      </c>
      <c r="G46" s="9">
        <f>ANIMALS!O42</f>
        <v/>
      </c>
      <c r="H46" s="9">
        <f>ANIMALS!P42</f>
        <v/>
      </c>
      <c r="I46" s="9">
        <f>ANIMALS!Q42</f>
        <v/>
      </c>
      <c r="J46" s="9">
        <f>ANIMALS!R42</f>
        <v/>
      </c>
      <c r="K46" s="27">
        <f>IF($A46="","",AVERAGEIFS(PERFORMANCE!$F$2:$F$1000,PERFORMANCE!$C$2:$C$1000,$A46,PERFORMANCE!$E$2:$E$1000,"FAMACHA",PERFORMANCE!$B$2:$B$1000,$B$3))</f>
        <v/>
      </c>
      <c r="L46" s="7">
        <f>IF($A46="","",AVERAGEIFS(PERFORMANCE!$F$2:$F$1000,PERFORMANCE!$C$2:$C$1000,$A46,PERFORMANCE!$E$2:$E$1000,"FEC",PERFORMANCE!$B$2:$B$1000,$B$3))</f>
        <v/>
      </c>
      <c r="M46" s="7">
        <f>IF($A46="","",COUNTIFS(PERFORMANCE!$C$2:$C$1000,$A46,PERFORMANCE!$E$2:$E$1000,"DEWORM",PERFORMANCE!$B$2:$B$1000,$B$3))</f>
        <v/>
      </c>
      <c r="N46" s="29">
        <f>IF($A46="","",AVERAGEIFS(REPRODUCTION!$E$2:$E$1000,REPRODUCTION!$B$2:$B$1000,$A46,REPRODUCTION!$A$2:$A$1000,$B$3))</f>
        <v/>
      </c>
      <c r="O46" s="27">
        <f>IF($A46="","",AVERAGEIFS(PERFORMANCE!$F$2:$F$1000,PERFORMANCE!$C$2:$C$1000,$A46,PERFORMANCE!$E$2:$E$1000,"WEAN_WT",PERFORMANCE!$B$2:$B$1000,$B$3))</f>
        <v/>
      </c>
      <c r="P46" s="25">
        <f>IF($A46="","",AVERAGEIFS(PERFORMANCE!$F$2:$F$1000,PERFORMANCE!$C$2:$C$1000,$A46,PERFORMANCE!$E$2:$E$1000,"ADG",PERFORMANCE!$B$2:$B$1000,$B$3))</f>
        <v/>
      </c>
      <c r="Q46" s="27">
        <f>IF($A46="","",AVERAGEIFS(PERFORMANCE!$F$2:$F$1000,PERFORMANCE!$C$2:$C$1000,$A46,PERFORMANCE!$E$2:$E$1000,"SHEDDING",PERFORMANCE!$B$2:$B$1000,$B$3))</f>
        <v/>
      </c>
      <c r="R46" s="25">
        <f>IF($K46="","",IF(VLOOKUP($E46,PEN_STATS!$A$2:$V$10,4,FALSE)=0,0,-($K46-VLOOKUP($E46,PEN_STATS!$A$2:$V$10,3,FALSE))/VLOOKUP($E46,PEN_STATS!$A$2:$V$10,4,FALSE)))</f>
        <v/>
      </c>
      <c r="S46" s="25">
        <f>IF($L46="","",IF(VLOOKUP($E46,PEN_STATS!$A$2:$V$10,7,FALSE)=0,0,-($L46-VLOOKUP($E46,PEN_STATS!$A$2:$V$10,6,FALSE))/VLOOKUP($E46,PEN_STATS!$A$2:$V$10,7,FALSE)))</f>
        <v/>
      </c>
      <c r="T46" s="25">
        <f>IF($M46="","",IF(VLOOKUP($E46,PEN_STATS!$A$2:$V$10,10,FALSE)=0,0,-($M46-VLOOKUP($E46,PEN_STATS!$A$2:$V$10,9,FALSE))/VLOOKUP($E46,PEN_STATS!$A$2:$V$10,10,FALSE)))</f>
        <v/>
      </c>
      <c r="U46" s="25">
        <f>IF($N46="","",IF(VLOOKUP($E46,PEN_STATS!$A$2:$V$10,13,FALSE)=0,0,($N46-VLOOKUP($E46,PEN_STATS!$A$2:$V$10,12,FALSE))/VLOOKUP($E46,PEN_STATS!$A$2:$V$10,13,FALSE)))</f>
        <v/>
      </c>
      <c r="V46" s="25">
        <f>IF($O46="","",IF(VLOOKUP($E46,PEN_STATS!$A$2:$V$10,16,FALSE)=0,0,($O46-VLOOKUP($E46,PEN_STATS!$A$2:$V$10,15,FALSE))/VLOOKUP($E46,PEN_STATS!$A$2:$V$10,16,FALSE)))</f>
        <v/>
      </c>
      <c r="W46" s="25">
        <f>IF($P46="","",IF(VLOOKUP($E46,PEN_STATS!$A$2:$V$10,19,FALSE)=0,0,($P46-VLOOKUP($E46,PEN_STATS!$A$2:$V$10,18,FALSE))/VLOOKUP($E46,PEN_STATS!$A$2:$V$10,19,FALSE)))</f>
        <v/>
      </c>
      <c r="X46" s="25">
        <f>IF($Q46="","",IF(VLOOKUP($E46,PEN_STATS!$A$2:$V$10,22,FALSE)=0,0,($Q46-VLOOKUP($E46,PEN_STATS!$A$2:$V$10,21,FALSE))/VLOOKUP($E46,PEN_STATS!$A$2:$V$10,22,FALSE)))</f>
        <v/>
      </c>
      <c r="Y46" s="25">
        <f>IF($A46="","",'WEIGHTS_&amp;_RULES'!$B$12*$R46+'WEIGHTS_&amp;_RULES'!$B$13*$S46+'WEIGHTS_&amp;_RULES'!$B$14*$T46+'WEIGHTS_&amp;_RULES'!$B$15*$U46)</f>
        <v/>
      </c>
      <c r="Z46" s="25">
        <f>IF($A46="","",'WEIGHTS_&amp;_RULES'!$B$19*$V46+'WEIGHTS_&amp;_RULES'!$B$20*$W46)</f>
        <v/>
      </c>
      <c r="AA46" s="25">
        <f>IF($A46="","",'WEIGHTS_&amp;_RULES'!$B$24*$X46)</f>
        <v/>
      </c>
      <c r="AB46" s="25">
        <f>IF($A46="","",'WEIGHTS_&amp;_RULES'!$B$7*$Y46+'WEIGHTS_&amp;_RULES'!$B$8*$Z46+'WEIGHTS_&amp;_RULES'!$B$9*$AA46)</f>
        <v/>
      </c>
    </row>
    <row r="47">
      <c r="A47" s="9">
        <f>ANIMALS!A43</f>
        <v/>
      </c>
      <c r="B47" s="9">
        <f>ANIMALS!B43</f>
        <v/>
      </c>
      <c r="C47" s="9">
        <f>ANIMALS!D43</f>
        <v/>
      </c>
      <c r="D47" s="9">
        <f>ANIMALS!G43</f>
        <v/>
      </c>
      <c r="E47" s="9">
        <f>ANIMALS!H43</f>
        <v/>
      </c>
      <c r="F47" s="9">
        <f>ANIMALS!I43</f>
        <v/>
      </c>
      <c r="G47" s="9">
        <f>ANIMALS!O43</f>
        <v/>
      </c>
      <c r="H47" s="9">
        <f>ANIMALS!P43</f>
        <v/>
      </c>
      <c r="I47" s="9">
        <f>ANIMALS!Q43</f>
        <v/>
      </c>
      <c r="J47" s="9">
        <f>ANIMALS!R43</f>
        <v/>
      </c>
      <c r="K47" s="27">
        <f>IF($A47="","",AVERAGEIFS(PERFORMANCE!$F$2:$F$1000,PERFORMANCE!$C$2:$C$1000,$A47,PERFORMANCE!$E$2:$E$1000,"FAMACHA",PERFORMANCE!$B$2:$B$1000,$B$3))</f>
        <v/>
      </c>
      <c r="L47" s="7">
        <f>IF($A47="","",AVERAGEIFS(PERFORMANCE!$F$2:$F$1000,PERFORMANCE!$C$2:$C$1000,$A47,PERFORMANCE!$E$2:$E$1000,"FEC",PERFORMANCE!$B$2:$B$1000,$B$3))</f>
        <v/>
      </c>
      <c r="M47" s="7">
        <f>IF($A47="","",COUNTIFS(PERFORMANCE!$C$2:$C$1000,$A47,PERFORMANCE!$E$2:$E$1000,"DEWORM",PERFORMANCE!$B$2:$B$1000,$B$3))</f>
        <v/>
      </c>
      <c r="N47" s="29">
        <f>IF($A47="","",AVERAGEIFS(REPRODUCTION!$E$2:$E$1000,REPRODUCTION!$B$2:$B$1000,$A47,REPRODUCTION!$A$2:$A$1000,$B$3))</f>
        <v/>
      </c>
      <c r="O47" s="27">
        <f>IF($A47="","",AVERAGEIFS(PERFORMANCE!$F$2:$F$1000,PERFORMANCE!$C$2:$C$1000,$A47,PERFORMANCE!$E$2:$E$1000,"WEAN_WT",PERFORMANCE!$B$2:$B$1000,$B$3))</f>
        <v/>
      </c>
      <c r="P47" s="25">
        <f>IF($A47="","",AVERAGEIFS(PERFORMANCE!$F$2:$F$1000,PERFORMANCE!$C$2:$C$1000,$A47,PERFORMANCE!$E$2:$E$1000,"ADG",PERFORMANCE!$B$2:$B$1000,$B$3))</f>
        <v/>
      </c>
      <c r="Q47" s="27">
        <f>IF($A47="","",AVERAGEIFS(PERFORMANCE!$F$2:$F$1000,PERFORMANCE!$C$2:$C$1000,$A47,PERFORMANCE!$E$2:$E$1000,"SHEDDING",PERFORMANCE!$B$2:$B$1000,$B$3))</f>
        <v/>
      </c>
      <c r="R47" s="25">
        <f>IF($K47="","",IF(VLOOKUP($E47,PEN_STATS!$A$2:$V$10,4,FALSE)=0,0,-($K47-VLOOKUP($E47,PEN_STATS!$A$2:$V$10,3,FALSE))/VLOOKUP($E47,PEN_STATS!$A$2:$V$10,4,FALSE)))</f>
        <v/>
      </c>
      <c r="S47" s="25">
        <f>IF($L47="","",IF(VLOOKUP($E47,PEN_STATS!$A$2:$V$10,7,FALSE)=0,0,-($L47-VLOOKUP($E47,PEN_STATS!$A$2:$V$10,6,FALSE))/VLOOKUP($E47,PEN_STATS!$A$2:$V$10,7,FALSE)))</f>
        <v/>
      </c>
      <c r="T47" s="25">
        <f>IF($M47="","",IF(VLOOKUP($E47,PEN_STATS!$A$2:$V$10,10,FALSE)=0,0,-($M47-VLOOKUP($E47,PEN_STATS!$A$2:$V$10,9,FALSE))/VLOOKUP($E47,PEN_STATS!$A$2:$V$10,10,FALSE)))</f>
        <v/>
      </c>
      <c r="U47" s="25">
        <f>IF($N47="","",IF(VLOOKUP($E47,PEN_STATS!$A$2:$V$10,13,FALSE)=0,0,($N47-VLOOKUP($E47,PEN_STATS!$A$2:$V$10,12,FALSE))/VLOOKUP($E47,PEN_STATS!$A$2:$V$10,13,FALSE)))</f>
        <v/>
      </c>
      <c r="V47" s="25">
        <f>IF($O47="","",IF(VLOOKUP($E47,PEN_STATS!$A$2:$V$10,16,FALSE)=0,0,($O47-VLOOKUP($E47,PEN_STATS!$A$2:$V$10,15,FALSE))/VLOOKUP($E47,PEN_STATS!$A$2:$V$10,16,FALSE)))</f>
        <v/>
      </c>
      <c r="W47" s="25">
        <f>IF($P47="","",IF(VLOOKUP($E47,PEN_STATS!$A$2:$V$10,19,FALSE)=0,0,($P47-VLOOKUP($E47,PEN_STATS!$A$2:$V$10,18,FALSE))/VLOOKUP($E47,PEN_STATS!$A$2:$V$10,19,FALSE)))</f>
        <v/>
      </c>
      <c r="X47" s="25">
        <f>IF($Q47="","",IF(VLOOKUP($E47,PEN_STATS!$A$2:$V$10,22,FALSE)=0,0,($Q47-VLOOKUP($E47,PEN_STATS!$A$2:$V$10,21,FALSE))/VLOOKUP($E47,PEN_STATS!$A$2:$V$10,22,FALSE)))</f>
        <v/>
      </c>
      <c r="Y47" s="25">
        <f>IF($A47="","",'WEIGHTS_&amp;_RULES'!$B$12*$R47+'WEIGHTS_&amp;_RULES'!$B$13*$S47+'WEIGHTS_&amp;_RULES'!$B$14*$T47+'WEIGHTS_&amp;_RULES'!$B$15*$U47)</f>
        <v/>
      </c>
      <c r="Z47" s="25">
        <f>IF($A47="","",'WEIGHTS_&amp;_RULES'!$B$19*$V47+'WEIGHTS_&amp;_RULES'!$B$20*$W47)</f>
        <v/>
      </c>
      <c r="AA47" s="25">
        <f>IF($A47="","",'WEIGHTS_&amp;_RULES'!$B$24*$X47)</f>
        <v/>
      </c>
      <c r="AB47" s="25">
        <f>IF($A47="","",'WEIGHTS_&amp;_RULES'!$B$7*$Y47+'WEIGHTS_&amp;_RULES'!$B$8*$Z47+'WEIGHTS_&amp;_RULES'!$B$9*$AA47)</f>
        <v/>
      </c>
    </row>
    <row r="48">
      <c r="A48" s="9">
        <f>ANIMALS!A44</f>
        <v/>
      </c>
      <c r="B48" s="9">
        <f>ANIMALS!B44</f>
        <v/>
      </c>
      <c r="C48" s="9">
        <f>ANIMALS!D44</f>
        <v/>
      </c>
      <c r="D48" s="9">
        <f>ANIMALS!G44</f>
        <v/>
      </c>
      <c r="E48" s="9">
        <f>ANIMALS!H44</f>
        <v/>
      </c>
      <c r="F48" s="9">
        <f>ANIMALS!I44</f>
        <v/>
      </c>
      <c r="G48" s="9">
        <f>ANIMALS!O44</f>
        <v/>
      </c>
      <c r="H48" s="9">
        <f>ANIMALS!P44</f>
        <v/>
      </c>
      <c r="I48" s="9">
        <f>ANIMALS!Q44</f>
        <v/>
      </c>
      <c r="J48" s="9">
        <f>ANIMALS!R44</f>
        <v/>
      </c>
      <c r="K48" s="27">
        <f>IF($A48="","",AVERAGEIFS(PERFORMANCE!$F$2:$F$1000,PERFORMANCE!$C$2:$C$1000,$A48,PERFORMANCE!$E$2:$E$1000,"FAMACHA",PERFORMANCE!$B$2:$B$1000,$B$3))</f>
        <v/>
      </c>
      <c r="L48" s="7">
        <f>IF($A48="","",AVERAGEIFS(PERFORMANCE!$F$2:$F$1000,PERFORMANCE!$C$2:$C$1000,$A48,PERFORMANCE!$E$2:$E$1000,"FEC",PERFORMANCE!$B$2:$B$1000,$B$3))</f>
        <v/>
      </c>
      <c r="M48" s="7">
        <f>IF($A48="","",COUNTIFS(PERFORMANCE!$C$2:$C$1000,$A48,PERFORMANCE!$E$2:$E$1000,"DEWORM",PERFORMANCE!$B$2:$B$1000,$B$3))</f>
        <v/>
      </c>
      <c r="N48" s="29">
        <f>IF($A48="","",AVERAGEIFS(REPRODUCTION!$E$2:$E$1000,REPRODUCTION!$B$2:$B$1000,$A48,REPRODUCTION!$A$2:$A$1000,$B$3))</f>
        <v/>
      </c>
      <c r="O48" s="27">
        <f>IF($A48="","",AVERAGEIFS(PERFORMANCE!$F$2:$F$1000,PERFORMANCE!$C$2:$C$1000,$A48,PERFORMANCE!$E$2:$E$1000,"WEAN_WT",PERFORMANCE!$B$2:$B$1000,$B$3))</f>
        <v/>
      </c>
      <c r="P48" s="25">
        <f>IF($A48="","",AVERAGEIFS(PERFORMANCE!$F$2:$F$1000,PERFORMANCE!$C$2:$C$1000,$A48,PERFORMANCE!$E$2:$E$1000,"ADG",PERFORMANCE!$B$2:$B$1000,$B$3))</f>
        <v/>
      </c>
      <c r="Q48" s="27">
        <f>IF($A48="","",AVERAGEIFS(PERFORMANCE!$F$2:$F$1000,PERFORMANCE!$C$2:$C$1000,$A48,PERFORMANCE!$E$2:$E$1000,"SHEDDING",PERFORMANCE!$B$2:$B$1000,$B$3))</f>
        <v/>
      </c>
      <c r="R48" s="25">
        <f>IF($K48="","",IF(VLOOKUP($E48,PEN_STATS!$A$2:$V$10,4,FALSE)=0,0,-($K48-VLOOKUP($E48,PEN_STATS!$A$2:$V$10,3,FALSE))/VLOOKUP($E48,PEN_STATS!$A$2:$V$10,4,FALSE)))</f>
        <v/>
      </c>
      <c r="S48" s="25">
        <f>IF($L48="","",IF(VLOOKUP($E48,PEN_STATS!$A$2:$V$10,7,FALSE)=0,0,-($L48-VLOOKUP($E48,PEN_STATS!$A$2:$V$10,6,FALSE))/VLOOKUP($E48,PEN_STATS!$A$2:$V$10,7,FALSE)))</f>
        <v/>
      </c>
      <c r="T48" s="25">
        <f>IF($M48="","",IF(VLOOKUP($E48,PEN_STATS!$A$2:$V$10,10,FALSE)=0,0,-($M48-VLOOKUP($E48,PEN_STATS!$A$2:$V$10,9,FALSE))/VLOOKUP($E48,PEN_STATS!$A$2:$V$10,10,FALSE)))</f>
        <v/>
      </c>
      <c r="U48" s="25">
        <f>IF($N48="","",IF(VLOOKUP($E48,PEN_STATS!$A$2:$V$10,13,FALSE)=0,0,($N48-VLOOKUP($E48,PEN_STATS!$A$2:$V$10,12,FALSE))/VLOOKUP($E48,PEN_STATS!$A$2:$V$10,13,FALSE)))</f>
        <v/>
      </c>
      <c r="V48" s="25">
        <f>IF($O48="","",IF(VLOOKUP($E48,PEN_STATS!$A$2:$V$10,16,FALSE)=0,0,($O48-VLOOKUP($E48,PEN_STATS!$A$2:$V$10,15,FALSE))/VLOOKUP($E48,PEN_STATS!$A$2:$V$10,16,FALSE)))</f>
        <v/>
      </c>
      <c r="W48" s="25">
        <f>IF($P48="","",IF(VLOOKUP($E48,PEN_STATS!$A$2:$V$10,19,FALSE)=0,0,($P48-VLOOKUP($E48,PEN_STATS!$A$2:$V$10,18,FALSE))/VLOOKUP($E48,PEN_STATS!$A$2:$V$10,19,FALSE)))</f>
        <v/>
      </c>
      <c r="X48" s="25">
        <f>IF($Q48="","",IF(VLOOKUP($E48,PEN_STATS!$A$2:$V$10,22,FALSE)=0,0,($Q48-VLOOKUP($E48,PEN_STATS!$A$2:$V$10,21,FALSE))/VLOOKUP($E48,PEN_STATS!$A$2:$V$10,22,FALSE)))</f>
        <v/>
      </c>
      <c r="Y48" s="25">
        <f>IF($A48="","",'WEIGHTS_&amp;_RULES'!$B$12*$R48+'WEIGHTS_&amp;_RULES'!$B$13*$S48+'WEIGHTS_&amp;_RULES'!$B$14*$T48+'WEIGHTS_&amp;_RULES'!$B$15*$U48)</f>
        <v/>
      </c>
      <c r="Z48" s="25">
        <f>IF($A48="","",'WEIGHTS_&amp;_RULES'!$B$19*$V48+'WEIGHTS_&amp;_RULES'!$B$20*$W48)</f>
        <v/>
      </c>
      <c r="AA48" s="25">
        <f>IF($A48="","",'WEIGHTS_&amp;_RULES'!$B$24*$X48)</f>
        <v/>
      </c>
      <c r="AB48" s="25">
        <f>IF($A48="","",'WEIGHTS_&amp;_RULES'!$B$7*$Y48+'WEIGHTS_&amp;_RULES'!$B$8*$Z48+'WEIGHTS_&amp;_RULES'!$B$9*$AA48)</f>
        <v/>
      </c>
    </row>
    <row r="49">
      <c r="A49" s="9">
        <f>ANIMALS!A45</f>
        <v/>
      </c>
      <c r="B49" s="9">
        <f>ANIMALS!B45</f>
        <v/>
      </c>
      <c r="C49" s="9">
        <f>ANIMALS!D45</f>
        <v/>
      </c>
      <c r="D49" s="9">
        <f>ANIMALS!G45</f>
        <v/>
      </c>
      <c r="E49" s="9">
        <f>ANIMALS!H45</f>
        <v/>
      </c>
      <c r="F49" s="9">
        <f>ANIMALS!I45</f>
        <v/>
      </c>
      <c r="G49" s="9">
        <f>ANIMALS!O45</f>
        <v/>
      </c>
      <c r="H49" s="9">
        <f>ANIMALS!P45</f>
        <v/>
      </c>
      <c r="I49" s="9">
        <f>ANIMALS!Q45</f>
        <v/>
      </c>
      <c r="J49" s="9">
        <f>ANIMALS!R45</f>
        <v/>
      </c>
      <c r="K49" s="27">
        <f>IF($A49="","",AVERAGEIFS(PERFORMANCE!$F$2:$F$1000,PERFORMANCE!$C$2:$C$1000,$A49,PERFORMANCE!$E$2:$E$1000,"FAMACHA",PERFORMANCE!$B$2:$B$1000,$B$3))</f>
        <v/>
      </c>
      <c r="L49" s="7">
        <f>IF($A49="","",AVERAGEIFS(PERFORMANCE!$F$2:$F$1000,PERFORMANCE!$C$2:$C$1000,$A49,PERFORMANCE!$E$2:$E$1000,"FEC",PERFORMANCE!$B$2:$B$1000,$B$3))</f>
        <v/>
      </c>
      <c r="M49" s="7">
        <f>IF($A49="","",COUNTIFS(PERFORMANCE!$C$2:$C$1000,$A49,PERFORMANCE!$E$2:$E$1000,"DEWORM",PERFORMANCE!$B$2:$B$1000,$B$3))</f>
        <v/>
      </c>
      <c r="N49" s="29">
        <f>IF($A49="","",AVERAGEIFS(REPRODUCTION!$E$2:$E$1000,REPRODUCTION!$B$2:$B$1000,$A49,REPRODUCTION!$A$2:$A$1000,$B$3))</f>
        <v/>
      </c>
      <c r="O49" s="27">
        <f>IF($A49="","",AVERAGEIFS(PERFORMANCE!$F$2:$F$1000,PERFORMANCE!$C$2:$C$1000,$A49,PERFORMANCE!$E$2:$E$1000,"WEAN_WT",PERFORMANCE!$B$2:$B$1000,$B$3))</f>
        <v/>
      </c>
      <c r="P49" s="25">
        <f>IF($A49="","",AVERAGEIFS(PERFORMANCE!$F$2:$F$1000,PERFORMANCE!$C$2:$C$1000,$A49,PERFORMANCE!$E$2:$E$1000,"ADG",PERFORMANCE!$B$2:$B$1000,$B$3))</f>
        <v/>
      </c>
      <c r="Q49" s="27">
        <f>IF($A49="","",AVERAGEIFS(PERFORMANCE!$F$2:$F$1000,PERFORMANCE!$C$2:$C$1000,$A49,PERFORMANCE!$E$2:$E$1000,"SHEDDING",PERFORMANCE!$B$2:$B$1000,$B$3))</f>
        <v/>
      </c>
      <c r="R49" s="25">
        <f>IF($K49="","",IF(VLOOKUP($E49,PEN_STATS!$A$2:$V$10,4,FALSE)=0,0,-($K49-VLOOKUP($E49,PEN_STATS!$A$2:$V$10,3,FALSE))/VLOOKUP($E49,PEN_STATS!$A$2:$V$10,4,FALSE)))</f>
        <v/>
      </c>
      <c r="S49" s="25">
        <f>IF($L49="","",IF(VLOOKUP($E49,PEN_STATS!$A$2:$V$10,7,FALSE)=0,0,-($L49-VLOOKUP($E49,PEN_STATS!$A$2:$V$10,6,FALSE))/VLOOKUP($E49,PEN_STATS!$A$2:$V$10,7,FALSE)))</f>
        <v/>
      </c>
      <c r="T49" s="25">
        <f>IF($M49="","",IF(VLOOKUP($E49,PEN_STATS!$A$2:$V$10,10,FALSE)=0,0,-($M49-VLOOKUP($E49,PEN_STATS!$A$2:$V$10,9,FALSE))/VLOOKUP($E49,PEN_STATS!$A$2:$V$10,10,FALSE)))</f>
        <v/>
      </c>
      <c r="U49" s="25">
        <f>IF($N49="","",IF(VLOOKUP($E49,PEN_STATS!$A$2:$V$10,13,FALSE)=0,0,($N49-VLOOKUP($E49,PEN_STATS!$A$2:$V$10,12,FALSE))/VLOOKUP($E49,PEN_STATS!$A$2:$V$10,13,FALSE)))</f>
        <v/>
      </c>
      <c r="V49" s="25">
        <f>IF($O49="","",IF(VLOOKUP($E49,PEN_STATS!$A$2:$V$10,16,FALSE)=0,0,($O49-VLOOKUP($E49,PEN_STATS!$A$2:$V$10,15,FALSE))/VLOOKUP($E49,PEN_STATS!$A$2:$V$10,16,FALSE)))</f>
        <v/>
      </c>
      <c r="W49" s="25">
        <f>IF($P49="","",IF(VLOOKUP($E49,PEN_STATS!$A$2:$V$10,19,FALSE)=0,0,($P49-VLOOKUP($E49,PEN_STATS!$A$2:$V$10,18,FALSE))/VLOOKUP($E49,PEN_STATS!$A$2:$V$10,19,FALSE)))</f>
        <v/>
      </c>
      <c r="X49" s="25">
        <f>IF($Q49="","",IF(VLOOKUP($E49,PEN_STATS!$A$2:$V$10,22,FALSE)=0,0,($Q49-VLOOKUP($E49,PEN_STATS!$A$2:$V$10,21,FALSE))/VLOOKUP($E49,PEN_STATS!$A$2:$V$10,22,FALSE)))</f>
        <v/>
      </c>
      <c r="Y49" s="25">
        <f>IF($A49="","",'WEIGHTS_&amp;_RULES'!$B$12*$R49+'WEIGHTS_&amp;_RULES'!$B$13*$S49+'WEIGHTS_&amp;_RULES'!$B$14*$T49+'WEIGHTS_&amp;_RULES'!$B$15*$U49)</f>
        <v/>
      </c>
      <c r="Z49" s="25">
        <f>IF($A49="","",'WEIGHTS_&amp;_RULES'!$B$19*$V49+'WEIGHTS_&amp;_RULES'!$B$20*$W49)</f>
        <v/>
      </c>
      <c r="AA49" s="25">
        <f>IF($A49="","",'WEIGHTS_&amp;_RULES'!$B$24*$X49)</f>
        <v/>
      </c>
      <c r="AB49" s="25">
        <f>IF($A49="","",'WEIGHTS_&amp;_RULES'!$B$7*$Y49+'WEIGHTS_&amp;_RULES'!$B$8*$Z49+'WEIGHTS_&amp;_RULES'!$B$9*$AA49)</f>
        <v/>
      </c>
    </row>
    <row r="50">
      <c r="A50" s="9">
        <f>ANIMALS!A46</f>
        <v/>
      </c>
      <c r="B50" s="9">
        <f>ANIMALS!B46</f>
        <v/>
      </c>
      <c r="C50" s="9">
        <f>ANIMALS!D46</f>
        <v/>
      </c>
      <c r="D50" s="9">
        <f>ANIMALS!G46</f>
        <v/>
      </c>
      <c r="E50" s="9">
        <f>ANIMALS!H46</f>
        <v/>
      </c>
      <c r="F50" s="9">
        <f>ANIMALS!I46</f>
        <v/>
      </c>
      <c r="G50" s="9">
        <f>ANIMALS!O46</f>
        <v/>
      </c>
      <c r="H50" s="9">
        <f>ANIMALS!P46</f>
        <v/>
      </c>
      <c r="I50" s="9">
        <f>ANIMALS!Q46</f>
        <v/>
      </c>
      <c r="J50" s="9">
        <f>ANIMALS!R46</f>
        <v/>
      </c>
      <c r="K50" s="27">
        <f>IF($A50="","",AVERAGEIFS(PERFORMANCE!$F$2:$F$1000,PERFORMANCE!$C$2:$C$1000,$A50,PERFORMANCE!$E$2:$E$1000,"FAMACHA",PERFORMANCE!$B$2:$B$1000,$B$3))</f>
        <v/>
      </c>
      <c r="L50" s="7">
        <f>IF($A50="","",AVERAGEIFS(PERFORMANCE!$F$2:$F$1000,PERFORMANCE!$C$2:$C$1000,$A50,PERFORMANCE!$E$2:$E$1000,"FEC",PERFORMANCE!$B$2:$B$1000,$B$3))</f>
        <v/>
      </c>
      <c r="M50" s="7">
        <f>IF($A50="","",COUNTIFS(PERFORMANCE!$C$2:$C$1000,$A50,PERFORMANCE!$E$2:$E$1000,"DEWORM",PERFORMANCE!$B$2:$B$1000,$B$3))</f>
        <v/>
      </c>
      <c r="N50" s="29">
        <f>IF($A50="","",AVERAGEIFS(REPRODUCTION!$E$2:$E$1000,REPRODUCTION!$B$2:$B$1000,$A50,REPRODUCTION!$A$2:$A$1000,$B$3))</f>
        <v/>
      </c>
      <c r="O50" s="27">
        <f>IF($A50="","",AVERAGEIFS(PERFORMANCE!$F$2:$F$1000,PERFORMANCE!$C$2:$C$1000,$A50,PERFORMANCE!$E$2:$E$1000,"WEAN_WT",PERFORMANCE!$B$2:$B$1000,$B$3))</f>
        <v/>
      </c>
      <c r="P50" s="25">
        <f>IF($A50="","",AVERAGEIFS(PERFORMANCE!$F$2:$F$1000,PERFORMANCE!$C$2:$C$1000,$A50,PERFORMANCE!$E$2:$E$1000,"ADG",PERFORMANCE!$B$2:$B$1000,$B$3))</f>
        <v/>
      </c>
      <c r="Q50" s="27">
        <f>IF($A50="","",AVERAGEIFS(PERFORMANCE!$F$2:$F$1000,PERFORMANCE!$C$2:$C$1000,$A50,PERFORMANCE!$E$2:$E$1000,"SHEDDING",PERFORMANCE!$B$2:$B$1000,$B$3))</f>
        <v/>
      </c>
      <c r="R50" s="25">
        <f>IF($K50="","",IF(VLOOKUP($E50,PEN_STATS!$A$2:$V$10,4,FALSE)=0,0,-($K50-VLOOKUP($E50,PEN_STATS!$A$2:$V$10,3,FALSE))/VLOOKUP($E50,PEN_STATS!$A$2:$V$10,4,FALSE)))</f>
        <v/>
      </c>
      <c r="S50" s="25">
        <f>IF($L50="","",IF(VLOOKUP($E50,PEN_STATS!$A$2:$V$10,7,FALSE)=0,0,-($L50-VLOOKUP($E50,PEN_STATS!$A$2:$V$10,6,FALSE))/VLOOKUP($E50,PEN_STATS!$A$2:$V$10,7,FALSE)))</f>
        <v/>
      </c>
      <c r="T50" s="25">
        <f>IF($M50="","",IF(VLOOKUP($E50,PEN_STATS!$A$2:$V$10,10,FALSE)=0,0,-($M50-VLOOKUP($E50,PEN_STATS!$A$2:$V$10,9,FALSE))/VLOOKUP($E50,PEN_STATS!$A$2:$V$10,10,FALSE)))</f>
        <v/>
      </c>
      <c r="U50" s="25">
        <f>IF($N50="","",IF(VLOOKUP($E50,PEN_STATS!$A$2:$V$10,13,FALSE)=0,0,($N50-VLOOKUP($E50,PEN_STATS!$A$2:$V$10,12,FALSE))/VLOOKUP($E50,PEN_STATS!$A$2:$V$10,13,FALSE)))</f>
        <v/>
      </c>
      <c r="V50" s="25">
        <f>IF($O50="","",IF(VLOOKUP($E50,PEN_STATS!$A$2:$V$10,16,FALSE)=0,0,($O50-VLOOKUP($E50,PEN_STATS!$A$2:$V$10,15,FALSE))/VLOOKUP($E50,PEN_STATS!$A$2:$V$10,16,FALSE)))</f>
        <v/>
      </c>
      <c r="W50" s="25">
        <f>IF($P50="","",IF(VLOOKUP($E50,PEN_STATS!$A$2:$V$10,19,FALSE)=0,0,($P50-VLOOKUP($E50,PEN_STATS!$A$2:$V$10,18,FALSE))/VLOOKUP($E50,PEN_STATS!$A$2:$V$10,19,FALSE)))</f>
        <v/>
      </c>
      <c r="X50" s="25">
        <f>IF($Q50="","",IF(VLOOKUP($E50,PEN_STATS!$A$2:$V$10,22,FALSE)=0,0,($Q50-VLOOKUP($E50,PEN_STATS!$A$2:$V$10,21,FALSE))/VLOOKUP($E50,PEN_STATS!$A$2:$V$10,22,FALSE)))</f>
        <v/>
      </c>
      <c r="Y50" s="25">
        <f>IF($A50="","",'WEIGHTS_&amp;_RULES'!$B$12*$R50+'WEIGHTS_&amp;_RULES'!$B$13*$S50+'WEIGHTS_&amp;_RULES'!$B$14*$T50+'WEIGHTS_&amp;_RULES'!$B$15*$U50)</f>
        <v/>
      </c>
      <c r="Z50" s="25">
        <f>IF($A50="","",'WEIGHTS_&amp;_RULES'!$B$19*$V50+'WEIGHTS_&amp;_RULES'!$B$20*$W50)</f>
        <v/>
      </c>
      <c r="AA50" s="25">
        <f>IF($A50="","",'WEIGHTS_&amp;_RULES'!$B$24*$X50)</f>
        <v/>
      </c>
      <c r="AB50" s="25">
        <f>IF($A50="","",'WEIGHTS_&amp;_RULES'!$B$7*$Y50+'WEIGHTS_&amp;_RULES'!$B$8*$Z50+'WEIGHTS_&amp;_RULES'!$B$9*$AA50)</f>
        <v/>
      </c>
    </row>
    <row r="51">
      <c r="A51" s="9">
        <f>ANIMALS!A47</f>
        <v/>
      </c>
      <c r="B51" s="9">
        <f>ANIMALS!B47</f>
        <v/>
      </c>
      <c r="C51" s="9">
        <f>ANIMALS!D47</f>
        <v/>
      </c>
      <c r="D51" s="9">
        <f>ANIMALS!G47</f>
        <v/>
      </c>
      <c r="E51" s="9">
        <f>ANIMALS!H47</f>
        <v/>
      </c>
      <c r="F51" s="9">
        <f>ANIMALS!I47</f>
        <v/>
      </c>
      <c r="G51" s="9">
        <f>ANIMALS!O47</f>
        <v/>
      </c>
      <c r="H51" s="9">
        <f>ANIMALS!P47</f>
        <v/>
      </c>
      <c r="I51" s="9">
        <f>ANIMALS!Q47</f>
        <v/>
      </c>
      <c r="J51" s="9">
        <f>ANIMALS!R47</f>
        <v/>
      </c>
      <c r="K51" s="27">
        <f>IF($A51="","",AVERAGEIFS(PERFORMANCE!$F$2:$F$1000,PERFORMANCE!$C$2:$C$1000,$A51,PERFORMANCE!$E$2:$E$1000,"FAMACHA",PERFORMANCE!$B$2:$B$1000,$B$3))</f>
        <v/>
      </c>
      <c r="L51" s="7">
        <f>IF($A51="","",AVERAGEIFS(PERFORMANCE!$F$2:$F$1000,PERFORMANCE!$C$2:$C$1000,$A51,PERFORMANCE!$E$2:$E$1000,"FEC",PERFORMANCE!$B$2:$B$1000,$B$3))</f>
        <v/>
      </c>
      <c r="M51" s="7">
        <f>IF($A51="","",COUNTIFS(PERFORMANCE!$C$2:$C$1000,$A51,PERFORMANCE!$E$2:$E$1000,"DEWORM",PERFORMANCE!$B$2:$B$1000,$B$3))</f>
        <v/>
      </c>
      <c r="N51" s="29">
        <f>IF($A51="","",AVERAGEIFS(REPRODUCTION!$E$2:$E$1000,REPRODUCTION!$B$2:$B$1000,$A51,REPRODUCTION!$A$2:$A$1000,$B$3))</f>
        <v/>
      </c>
      <c r="O51" s="27">
        <f>IF($A51="","",AVERAGEIFS(PERFORMANCE!$F$2:$F$1000,PERFORMANCE!$C$2:$C$1000,$A51,PERFORMANCE!$E$2:$E$1000,"WEAN_WT",PERFORMANCE!$B$2:$B$1000,$B$3))</f>
        <v/>
      </c>
      <c r="P51" s="25">
        <f>IF($A51="","",AVERAGEIFS(PERFORMANCE!$F$2:$F$1000,PERFORMANCE!$C$2:$C$1000,$A51,PERFORMANCE!$E$2:$E$1000,"ADG",PERFORMANCE!$B$2:$B$1000,$B$3))</f>
        <v/>
      </c>
      <c r="Q51" s="27">
        <f>IF($A51="","",AVERAGEIFS(PERFORMANCE!$F$2:$F$1000,PERFORMANCE!$C$2:$C$1000,$A51,PERFORMANCE!$E$2:$E$1000,"SHEDDING",PERFORMANCE!$B$2:$B$1000,$B$3))</f>
        <v/>
      </c>
      <c r="R51" s="25">
        <f>IF($K51="","",IF(VLOOKUP($E51,PEN_STATS!$A$2:$V$10,4,FALSE)=0,0,-($K51-VLOOKUP($E51,PEN_STATS!$A$2:$V$10,3,FALSE))/VLOOKUP($E51,PEN_STATS!$A$2:$V$10,4,FALSE)))</f>
        <v/>
      </c>
      <c r="S51" s="25">
        <f>IF($L51="","",IF(VLOOKUP($E51,PEN_STATS!$A$2:$V$10,7,FALSE)=0,0,-($L51-VLOOKUP($E51,PEN_STATS!$A$2:$V$10,6,FALSE))/VLOOKUP($E51,PEN_STATS!$A$2:$V$10,7,FALSE)))</f>
        <v/>
      </c>
      <c r="T51" s="25">
        <f>IF($M51="","",IF(VLOOKUP($E51,PEN_STATS!$A$2:$V$10,10,FALSE)=0,0,-($M51-VLOOKUP($E51,PEN_STATS!$A$2:$V$10,9,FALSE))/VLOOKUP($E51,PEN_STATS!$A$2:$V$10,10,FALSE)))</f>
        <v/>
      </c>
      <c r="U51" s="25">
        <f>IF($N51="","",IF(VLOOKUP($E51,PEN_STATS!$A$2:$V$10,13,FALSE)=0,0,($N51-VLOOKUP($E51,PEN_STATS!$A$2:$V$10,12,FALSE))/VLOOKUP($E51,PEN_STATS!$A$2:$V$10,13,FALSE)))</f>
        <v/>
      </c>
      <c r="V51" s="25">
        <f>IF($O51="","",IF(VLOOKUP($E51,PEN_STATS!$A$2:$V$10,16,FALSE)=0,0,($O51-VLOOKUP($E51,PEN_STATS!$A$2:$V$10,15,FALSE))/VLOOKUP($E51,PEN_STATS!$A$2:$V$10,16,FALSE)))</f>
        <v/>
      </c>
      <c r="W51" s="25">
        <f>IF($P51="","",IF(VLOOKUP($E51,PEN_STATS!$A$2:$V$10,19,FALSE)=0,0,($P51-VLOOKUP($E51,PEN_STATS!$A$2:$V$10,18,FALSE))/VLOOKUP($E51,PEN_STATS!$A$2:$V$10,19,FALSE)))</f>
        <v/>
      </c>
      <c r="X51" s="25">
        <f>IF($Q51="","",IF(VLOOKUP($E51,PEN_STATS!$A$2:$V$10,22,FALSE)=0,0,($Q51-VLOOKUP($E51,PEN_STATS!$A$2:$V$10,21,FALSE))/VLOOKUP($E51,PEN_STATS!$A$2:$V$10,22,FALSE)))</f>
        <v/>
      </c>
      <c r="Y51" s="25">
        <f>IF($A51="","",'WEIGHTS_&amp;_RULES'!$B$12*$R51+'WEIGHTS_&amp;_RULES'!$B$13*$S51+'WEIGHTS_&amp;_RULES'!$B$14*$T51+'WEIGHTS_&amp;_RULES'!$B$15*$U51)</f>
        <v/>
      </c>
      <c r="Z51" s="25">
        <f>IF($A51="","",'WEIGHTS_&amp;_RULES'!$B$19*$V51+'WEIGHTS_&amp;_RULES'!$B$20*$W51)</f>
        <v/>
      </c>
      <c r="AA51" s="25">
        <f>IF($A51="","",'WEIGHTS_&amp;_RULES'!$B$24*$X51)</f>
        <v/>
      </c>
      <c r="AB51" s="25">
        <f>IF($A51="","",'WEIGHTS_&amp;_RULES'!$B$7*$Y51+'WEIGHTS_&amp;_RULES'!$B$8*$Z51+'WEIGHTS_&amp;_RULES'!$B$9*$AA51)</f>
        <v/>
      </c>
    </row>
    <row r="52">
      <c r="A52" s="9">
        <f>ANIMALS!A48</f>
        <v/>
      </c>
      <c r="B52" s="9">
        <f>ANIMALS!B48</f>
        <v/>
      </c>
      <c r="C52" s="9">
        <f>ANIMALS!D48</f>
        <v/>
      </c>
      <c r="D52" s="9">
        <f>ANIMALS!G48</f>
        <v/>
      </c>
      <c r="E52" s="9">
        <f>ANIMALS!H48</f>
        <v/>
      </c>
      <c r="F52" s="9">
        <f>ANIMALS!I48</f>
        <v/>
      </c>
      <c r="G52" s="9">
        <f>ANIMALS!O48</f>
        <v/>
      </c>
      <c r="H52" s="9">
        <f>ANIMALS!P48</f>
        <v/>
      </c>
      <c r="I52" s="9">
        <f>ANIMALS!Q48</f>
        <v/>
      </c>
      <c r="J52" s="9">
        <f>ANIMALS!R48</f>
        <v/>
      </c>
      <c r="K52" s="27">
        <f>IF($A52="","",AVERAGEIFS(PERFORMANCE!$F$2:$F$1000,PERFORMANCE!$C$2:$C$1000,$A52,PERFORMANCE!$E$2:$E$1000,"FAMACHA",PERFORMANCE!$B$2:$B$1000,$B$3))</f>
        <v/>
      </c>
      <c r="L52" s="7">
        <f>IF($A52="","",AVERAGEIFS(PERFORMANCE!$F$2:$F$1000,PERFORMANCE!$C$2:$C$1000,$A52,PERFORMANCE!$E$2:$E$1000,"FEC",PERFORMANCE!$B$2:$B$1000,$B$3))</f>
        <v/>
      </c>
      <c r="M52" s="7">
        <f>IF($A52="","",COUNTIFS(PERFORMANCE!$C$2:$C$1000,$A52,PERFORMANCE!$E$2:$E$1000,"DEWORM",PERFORMANCE!$B$2:$B$1000,$B$3))</f>
        <v/>
      </c>
      <c r="N52" s="29">
        <f>IF($A52="","",AVERAGEIFS(REPRODUCTION!$E$2:$E$1000,REPRODUCTION!$B$2:$B$1000,$A52,REPRODUCTION!$A$2:$A$1000,$B$3))</f>
        <v/>
      </c>
      <c r="O52" s="27">
        <f>IF($A52="","",AVERAGEIFS(PERFORMANCE!$F$2:$F$1000,PERFORMANCE!$C$2:$C$1000,$A52,PERFORMANCE!$E$2:$E$1000,"WEAN_WT",PERFORMANCE!$B$2:$B$1000,$B$3))</f>
        <v/>
      </c>
      <c r="P52" s="25">
        <f>IF($A52="","",AVERAGEIFS(PERFORMANCE!$F$2:$F$1000,PERFORMANCE!$C$2:$C$1000,$A52,PERFORMANCE!$E$2:$E$1000,"ADG",PERFORMANCE!$B$2:$B$1000,$B$3))</f>
        <v/>
      </c>
      <c r="Q52" s="27">
        <f>IF($A52="","",AVERAGEIFS(PERFORMANCE!$F$2:$F$1000,PERFORMANCE!$C$2:$C$1000,$A52,PERFORMANCE!$E$2:$E$1000,"SHEDDING",PERFORMANCE!$B$2:$B$1000,$B$3))</f>
        <v/>
      </c>
      <c r="R52" s="25">
        <f>IF($K52="","",IF(VLOOKUP($E52,PEN_STATS!$A$2:$V$10,4,FALSE)=0,0,-($K52-VLOOKUP($E52,PEN_STATS!$A$2:$V$10,3,FALSE))/VLOOKUP($E52,PEN_STATS!$A$2:$V$10,4,FALSE)))</f>
        <v/>
      </c>
      <c r="S52" s="25">
        <f>IF($L52="","",IF(VLOOKUP($E52,PEN_STATS!$A$2:$V$10,7,FALSE)=0,0,-($L52-VLOOKUP($E52,PEN_STATS!$A$2:$V$10,6,FALSE))/VLOOKUP($E52,PEN_STATS!$A$2:$V$10,7,FALSE)))</f>
        <v/>
      </c>
      <c r="T52" s="25">
        <f>IF($M52="","",IF(VLOOKUP($E52,PEN_STATS!$A$2:$V$10,10,FALSE)=0,0,-($M52-VLOOKUP($E52,PEN_STATS!$A$2:$V$10,9,FALSE))/VLOOKUP($E52,PEN_STATS!$A$2:$V$10,10,FALSE)))</f>
        <v/>
      </c>
      <c r="U52" s="25">
        <f>IF($N52="","",IF(VLOOKUP($E52,PEN_STATS!$A$2:$V$10,13,FALSE)=0,0,($N52-VLOOKUP($E52,PEN_STATS!$A$2:$V$10,12,FALSE))/VLOOKUP($E52,PEN_STATS!$A$2:$V$10,13,FALSE)))</f>
        <v/>
      </c>
      <c r="V52" s="25">
        <f>IF($O52="","",IF(VLOOKUP($E52,PEN_STATS!$A$2:$V$10,16,FALSE)=0,0,($O52-VLOOKUP($E52,PEN_STATS!$A$2:$V$10,15,FALSE))/VLOOKUP($E52,PEN_STATS!$A$2:$V$10,16,FALSE)))</f>
        <v/>
      </c>
      <c r="W52" s="25">
        <f>IF($P52="","",IF(VLOOKUP($E52,PEN_STATS!$A$2:$V$10,19,FALSE)=0,0,($P52-VLOOKUP($E52,PEN_STATS!$A$2:$V$10,18,FALSE))/VLOOKUP($E52,PEN_STATS!$A$2:$V$10,19,FALSE)))</f>
        <v/>
      </c>
      <c r="X52" s="25">
        <f>IF($Q52="","",IF(VLOOKUP($E52,PEN_STATS!$A$2:$V$10,22,FALSE)=0,0,($Q52-VLOOKUP($E52,PEN_STATS!$A$2:$V$10,21,FALSE))/VLOOKUP($E52,PEN_STATS!$A$2:$V$10,22,FALSE)))</f>
        <v/>
      </c>
      <c r="Y52" s="25">
        <f>IF($A52="","",'WEIGHTS_&amp;_RULES'!$B$12*$R52+'WEIGHTS_&amp;_RULES'!$B$13*$S52+'WEIGHTS_&amp;_RULES'!$B$14*$T52+'WEIGHTS_&amp;_RULES'!$B$15*$U52)</f>
        <v/>
      </c>
      <c r="Z52" s="25">
        <f>IF($A52="","",'WEIGHTS_&amp;_RULES'!$B$19*$V52+'WEIGHTS_&amp;_RULES'!$B$20*$W52)</f>
        <v/>
      </c>
      <c r="AA52" s="25">
        <f>IF($A52="","",'WEIGHTS_&amp;_RULES'!$B$24*$X52)</f>
        <v/>
      </c>
      <c r="AB52" s="25">
        <f>IF($A52="","",'WEIGHTS_&amp;_RULES'!$B$7*$Y52+'WEIGHTS_&amp;_RULES'!$B$8*$Z52+'WEIGHTS_&amp;_RULES'!$B$9*$AA52)</f>
        <v/>
      </c>
    </row>
    <row r="53">
      <c r="A53" s="9">
        <f>ANIMALS!A49</f>
        <v/>
      </c>
      <c r="B53" s="9">
        <f>ANIMALS!B49</f>
        <v/>
      </c>
      <c r="C53" s="9">
        <f>ANIMALS!D49</f>
        <v/>
      </c>
      <c r="D53" s="9">
        <f>ANIMALS!G49</f>
        <v/>
      </c>
      <c r="E53" s="9">
        <f>ANIMALS!H49</f>
        <v/>
      </c>
      <c r="F53" s="9">
        <f>ANIMALS!I49</f>
        <v/>
      </c>
      <c r="G53" s="9">
        <f>ANIMALS!O49</f>
        <v/>
      </c>
      <c r="H53" s="9">
        <f>ANIMALS!P49</f>
        <v/>
      </c>
      <c r="I53" s="9">
        <f>ANIMALS!Q49</f>
        <v/>
      </c>
      <c r="J53" s="9">
        <f>ANIMALS!R49</f>
        <v/>
      </c>
      <c r="K53" s="27">
        <f>IF($A53="","",AVERAGEIFS(PERFORMANCE!$F$2:$F$1000,PERFORMANCE!$C$2:$C$1000,$A53,PERFORMANCE!$E$2:$E$1000,"FAMACHA",PERFORMANCE!$B$2:$B$1000,$B$3))</f>
        <v/>
      </c>
      <c r="L53" s="7">
        <f>IF($A53="","",AVERAGEIFS(PERFORMANCE!$F$2:$F$1000,PERFORMANCE!$C$2:$C$1000,$A53,PERFORMANCE!$E$2:$E$1000,"FEC",PERFORMANCE!$B$2:$B$1000,$B$3))</f>
        <v/>
      </c>
      <c r="M53" s="7">
        <f>IF($A53="","",COUNTIFS(PERFORMANCE!$C$2:$C$1000,$A53,PERFORMANCE!$E$2:$E$1000,"DEWORM",PERFORMANCE!$B$2:$B$1000,$B$3))</f>
        <v/>
      </c>
      <c r="N53" s="29">
        <f>IF($A53="","",AVERAGEIFS(REPRODUCTION!$E$2:$E$1000,REPRODUCTION!$B$2:$B$1000,$A53,REPRODUCTION!$A$2:$A$1000,$B$3))</f>
        <v/>
      </c>
      <c r="O53" s="27">
        <f>IF($A53="","",AVERAGEIFS(PERFORMANCE!$F$2:$F$1000,PERFORMANCE!$C$2:$C$1000,$A53,PERFORMANCE!$E$2:$E$1000,"WEAN_WT",PERFORMANCE!$B$2:$B$1000,$B$3))</f>
        <v/>
      </c>
      <c r="P53" s="25">
        <f>IF($A53="","",AVERAGEIFS(PERFORMANCE!$F$2:$F$1000,PERFORMANCE!$C$2:$C$1000,$A53,PERFORMANCE!$E$2:$E$1000,"ADG",PERFORMANCE!$B$2:$B$1000,$B$3))</f>
        <v/>
      </c>
      <c r="Q53" s="27">
        <f>IF($A53="","",AVERAGEIFS(PERFORMANCE!$F$2:$F$1000,PERFORMANCE!$C$2:$C$1000,$A53,PERFORMANCE!$E$2:$E$1000,"SHEDDING",PERFORMANCE!$B$2:$B$1000,$B$3))</f>
        <v/>
      </c>
      <c r="R53" s="25">
        <f>IF($K53="","",IF(VLOOKUP($E53,PEN_STATS!$A$2:$V$10,4,FALSE)=0,0,-($K53-VLOOKUP($E53,PEN_STATS!$A$2:$V$10,3,FALSE))/VLOOKUP($E53,PEN_STATS!$A$2:$V$10,4,FALSE)))</f>
        <v/>
      </c>
      <c r="S53" s="25">
        <f>IF($L53="","",IF(VLOOKUP($E53,PEN_STATS!$A$2:$V$10,7,FALSE)=0,0,-($L53-VLOOKUP($E53,PEN_STATS!$A$2:$V$10,6,FALSE))/VLOOKUP($E53,PEN_STATS!$A$2:$V$10,7,FALSE)))</f>
        <v/>
      </c>
      <c r="T53" s="25">
        <f>IF($M53="","",IF(VLOOKUP($E53,PEN_STATS!$A$2:$V$10,10,FALSE)=0,0,-($M53-VLOOKUP($E53,PEN_STATS!$A$2:$V$10,9,FALSE))/VLOOKUP($E53,PEN_STATS!$A$2:$V$10,10,FALSE)))</f>
        <v/>
      </c>
      <c r="U53" s="25">
        <f>IF($N53="","",IF(VLOOKUP($E53,PEN_STATS!$A$2:$V$10,13,FALSE)=0,0,($N53-VLOOKUP($E53,PEN_STATS!$A$2:$V$10,12,FALSE))/VLOOKUP($E53,PEN_STATS!$A$2:$V$10,13,FALSE)))</f>
        <v/>
      </c>
      <c r="V53" s="25">
        <f>IF($O53="","",IF(VLOOKUP($E53,PEN_STATS!$A$2:$V$10,16,FALSE)=0,0,($O53-VLOOKUP($E53,PEN_STATS!$A$2:$V$10,15,FALSE))/VLOOKUP($E53,PEN_STATS!$A$2:$V$10,16,FALSE)))</f>
        <v/>
      </c>
      <c r="W53" s="25">
        <f>IF($P53="","",IF(VLOOKUP($E53,PEN_STATS!$A$2:$V$10,19,FALSE)=0,0,($P53-VLOOKUP($E53,PEN_STATS!$A$2:$V$10,18,FALSE))/VLOOKUP($E53,PEN_STATS!$A$2:$V$10,19,FALSE)))</f>
        <v/>
      </c>
      <c r="X53" s="25">
        <f>IF($Q53="","",IF(VLOOKUP($E53,PEN_STATS!$A$2:$V$10,22,FALSE)=0,0,($Q53-VLOOKUP($E53,PEN_STATS!$A$2:$V$10,21,FALSE))/VLOOKUP($E53,PEN_STATS!$A$2:$V$10,22,FALSE)))</f>
        <v/>
      </c>
      <c r="Y53" s="25">
        <f>IF($A53="","",'WEIGHTS_&amp;_RULES'!$B$12*$R53+'WEIGHTS_&amp;_RULES'!$B$13*$S53+'WEIGHTS_&amp;_RULES'!$B$14*$T53+'WEIGHTS_&amp;_RULES'!$B$15*$U53)</f>
        <v/>
      </c>
      <c r="Z53" s="25">
        <f>IF($A53="","",'WEIGHTS_&amp;_RULES'!$B$19*$V53+'WEIGHTS_&amp;_RULES'!$B$20*$W53)</f>
        <v/>
      </c>
      <c r="AA53" s="25">
        <f>IF($A53="","",'WEIGHTS_&amp;_RULES'!$B$24*$X53)</f>
        <v/>
      </c>
      <c r="AB53" s="25">
        <f>IF($A53="","",'WEIGHTS_&amp;_RULES'!$B$7*$Y53+'WEIGHTS_&amp;_RULES'!$B$8*$Z53+'WEIGHTS_&amp;_RULES'!$B$9*$AA53)</f>
        <v/>
      </c>
    </row>
    <row r="54">
      <c r="A54" s="9">
        <f>ANIMALS!A50</f>
        <v/>
      </c>
      <c r="B54" s="9">
        <f>ANIMALS!B50</f>
        <v/>
      </c>
      <c r="C54" s="9">
        <f>ANIMALS!D50</f>
        <v/>
      </c>
      <c r="D54" s="9">
        <f>ANIMALS!G50</f>
        <v/>
      </c>
      <c r="E54" s="9">
        <f>ANIMALS!H50</f>
        <v/>
      </c>
      <c r="F54" s="9">
        <f>ANIMALS!I50</f>
        <v/>
      </c>
      <c r="G54" s="9">
        <f>ANIMALS!O50</f>
        <v/>
      </c>
      <c r="H54" s="9">
        <f>ANIMALS!P50</f>
        <v/>
      </c>
      <c r="I54" s="9">
        <f>ANIMALS!Q50</f>
        <v/>
      </c>
      <c r="J54" s="9">
        <f>ANIMALS!R50</f>
        <v/>
      </c>
      <c r="K54" s="27">
        <f>IF($A54="","",AVERAGEIFS(PERFORMANCE!$F$2:$F$1000,PERFORMANCE!$C$2:$C$1000,$A54,PERFORMANCE!$E$2:$E$1000,"FAMACHA",PERFORMANCE!$B$2:$B$1000,$B$3))</f>
        <v/>
      </c>
      <c r="L54" s="7">
        <f>IF($A54="","",AVERAGEIFS(PERFORMANCE!$F$2:$F$1000,PERFORMANCE!$C$2:$C$1000,$A54,PERFORMANCE!$E$2:$E$1000,"FEC",PERFORMANCE!$B$2:$B$1000,$B$3))</f>
        <v/>
      </c>
      <c r="M54" s="7">
        <f>IF($A54="","",COUNTIFS(PERFORMANCE!$C$2:$C$1000,$A54,PERFORMANCE!$E$2:$E$1000,"DEWORM",PERFORMANCE!$B$2:$B$1000,$B$3))</f>
        <v/>
      </c>
      <c r="N54" s="29">
        <f>IF($A54="","",AVERAGEIFS(REPRODUCTION!$E$2:$E$1000,REPRODUCTION!$B$2:$B$1000,$A54,REPRODUCTION!$A$2:$A$1000,$B$3))</f>
        <v/>
      </c>
      <c r="O54" s="27">
        <f>IF($A54="","",AVERAGEIFS(PERFORMANCE!$F$2:$F$1000,PERFORMANCE!$C$2:$C$1000,$A54,PERFORMANCE!$E$2:$E$1000,"WEAN_WT",PERFORMANCE!$B$2:$B$1000,$B$3))</f>
        <v/>
      </c>
      <c r="P54" s="25">
        <f>IF($A54="","",AVERAGEIFS(PERFORMANCE!$F$2:$F$1000,PERFORMANCE!$C$2:$C$1000,$A54,PERFORMANCE!$E$2:$E$1000,"ADG",PERFORMANCE!$B$2:$B$1000,$B$3))</f>
        <v/>
      </c>
      <c r="Q54" s="27">
        <f>IF($A54="","",AVERAGEIFS(PERFORMANCE!$F$2:$F$1000,PERFORMANCE!$C$2:$C$1000,$A54,PERFORMANCE!$E$2:$E$1000,"SHEDDING",PERFORMANCE!$B$2:$B$1000,$B$3))</f>
        <v/>
      </c>
      <c r="R54" s="25">
        <f>IF($K54="","",IF(VLOOKUP($E54,PEN_STATS!$A$2:$V$10,4,FALSE)=0,0,-($K54-VLOOKUP($E54,PEN_STATS!$A$2:$V$10,3,FALSE))/VLOOKUP($E54,PEN_STATS!$A$2:$V$10,4,FALSE)))</f>
        <v/>
      </c>
      <c r="S54" s="25">
        <f>IF($L54="","",IF(VLOOKUP($E54,PEN_STATS!$A$2:$V$10,7,FALSE)=0,0,-($L54-VLOOKUP($E54,PEN_STATS!$A$2:$V$10,6,FALSE))/VLOOKUP($E54,PEN_STATS!$A$2:$V$10,7,FALSE)))</f>
        <v/>
      </c>
      <c r="T54" s="25">
        <f>IF($M54="","",IF(VLOOKUP($E54,PEN_STATS!$A$2:$V$10,10,FALSE)=0,0,-($M54-VLOOKUP($E54,PEN_STATS!$A$2:$V$10,9,FALSE))/VLOOKUP($E54,PEN_STATS!$A$2:$V$10,10,FALSE)))</f>
        <v/>
      </c>
      <c r="U54" s="25">
        <f>IF($N54="","",IF(VLOOKUP($E54,PEN_STATS!$A$2:$V$10,13,FALSE)=0,0,($N54-VLOOKUP($E54,PEN_STATS!$A$2:$V$10,12,FALSE))/VLOOKUP($E54,PEN_STATS!$A$2:$V$10,13,FALSE)))</f>
        <v/>
      </c>
      <c r="V54" s="25">
        <f>IF($O54="","",IF(VLOOKUP($E54,PEN_STATS!$A$2:$V$10,16,FALSE)=0,0,($O54-VLOOKUP($E54,PEN_STATS!$A$2:$V$10,15,FALSE))/VLOOKUP($E54,PEN_STATS!$A$2:$V$10,16,FALSE)))</f>
        <v/>
      </c>
      <c r="W54" s="25">
        <f>IF($P54="","",IF(VLOOKUP($E54,PEN_STATS!$A$2:$V$10,19,FALSE)=0,0,($P54-VLOOKUP($E54,PEN_STATS!$A$2:$V$10,18,FALSE))/VLOOKUP($E54,PEN_STATS!$A$2:$V$10,19,FALSE)))</f>
        <v/>
      </c>
      <c r="X54" s="25">
        <f>IF($Q54="","",IF(VLOOKUP($E54,PEN_STATS!$A$2:$V$10,22,FALSE)=0,0,($Q54-VLOOKUP($E54,PEN_STATS!$A$2:$V$10,21,FALSE))/VLOOKUP($E54,PEN_STATS!$A$2:$V$10,22,FALSE)))</f>
        <v/>
      </c>
      <c r="Y54" s="25">
        <f>IF($A54="","",'WEIGHTS_&amp;_RULES'!$B$12*$R54+'WEIGHTS_&amp;_RULES'!$B$13*$S54+'WEIGHTS_&amp;_RULES'!$B$14*$T54+'WEIGHTS_&amp;_RULES'!$B$15*$U54)</f>
        <v/>
      </c>
      <c r="Z54" s="25">
        <f>IF($A54="","",'WEIGHTS_&amp;_RULES'!$B$19*$V54+'WEIGHTS_&amp;_RULES'!$B$20*$W54)</f>
        <v/>
      </c>
      <c r="AA54" s="25">
        <f>IF($A54="","",'WEIGHTS_&amp;_RULES'!$B$24*$X54)</f>
        <v/>
      </c>
      <c r="AB54" s="25">
        <f>IF($A54="","",'WEIGHTS_&amp;_RULES'!$B$7*$Y54+'WEIGHTS_&amp;_RULES'!$B$8*$Z54+'WEIGHTS_&amp;_RULES'!$B$9*$AA54)</f>
        <v/>
      </c>
    </row>
    <row r="55">
      <c r="A55" s="9">
        <f>ANIMALS!A51</f>
        <v/>
      </c>
      <c r="B55" s="9">
        <f>ANIMALS!B51</f>
        <v/>
      </c>
      <c r="C55" s="9">
        <f>ANIMALS!D51</f>
        <v/>
      </c>
      <c r="D55" s="9">
        <f>ANIMALS!G51</f>
        <v/>
      </c>
      <c r="E55" s="9">
        <f>ANIMALS!H51</f>
        <v/>
      </c>
      <c r="F55" s="9">
        <f>ANIMALS!I51</f>
        <v/>
      </c>
      <c r="G55" s="9">
        <f>ANIMALS!O51</f>
        <v/>
      </c>
      <c r="H55" s="9">
        <f>ANIMALS!P51</f>
        <v/>
      </c>
      <c r="I55" s="9">
        <f>ANIMALS!Q51</f>
        <v/>
      </c>
      <c r="J55" s="9">
        <f>ANIMALS!R51</f>
        <v/>
      </c>
      <c r="K55" s="27">
        <f>IF($A55="","",AVERAGEIFS(PERFORMANCE!$F$2:$F$1000,PERFORMANCE!$C$2:$C$1000,$A55,PERFORMANCE!$E$2:$E$1000,"FAMACHA",PERFORMANCE!$B$2:$B$1000,$B$3))</f>
        <v/>
      </c>
      <c r="L55" s="7">
        <f>IF($A55="","",AVERAGEIFS(PERFORMANCE!$F$2:$F$1000,PERFORMANCE!$C$2:$C$1000,$A55,PERFORMANCE!$E$2:$E$1000,"FEC",PERFORMANCE!$B$2:$B$1000,$B$3))</f>
        <v/>
      </c>
      <c r="M55" s="7">
        <f>IF($A55="","",COUNTIFS(PERFORMANCE!$C$2:$C$1000,$A55,PERFORMANCE!$E$2:$E$1000,"DEWORM",PERFORMANCE!$B$2:$B$1000,$B$3))</f>
        <v/>
      </c>
      <c r="N55" s="29">
        <f>IF($A55="","",AVERAGEIFS(REPRODUCTION!$E$2:$E$1000,REPRODUCTION!$B$2:$B$1000,$A55,REPRODUCTION!$A$2:$A$1000,$B$3))</f>
        <v/>
      </c>
      <c r="O55" s="27">
        <f>IF($A55="","",AVERAGEIFS(PERFORMANCE!$F$2:$F$1000,PERFORMANCE!$C$2:$C$1000,$A55,PERFORMANCE!$E$2:$E$1000,"WEAN_WT",PERFORMANCE!$B$2:$B$1000,$B$3))</f>
        <v/>
      </c>
      <c r="P55" s="25">
        <f>IF($A55="","",AVERAGEIFS(PERFORMANCE!$F$2:$F$1000,PERFORMANCE!$C$2:$C$1000,$A55,PERFORMANCE!$E$2:$E$1000,"ADG",PERFORMANCE!$B$2:$B$1000,$B$3))</f>
        <v/>
      </c>
      <c r="Q55" s="27">
        <f>IF($A55="","",AVERAGEIFS(PERFORMANCE!$F$2:$F$1000,PERFORMANCE!$C$2:$C$1000,$A55,PERFORMANCE!$E$2:$E$1000,"SHEDDING",PERFORMANCE!$B$2:$B$1000,$B$3))</f>
        <v/>
      </c>
      <c r="R55" s="25">
        <f>IF($K55="","",IF(VLOOKUP($E55,PEN_STATS!$A$2:$V$10,4,FALSE)=0,0,-($K55-VLOOKUP($E55,PEN_STATS!$A$2:$V$10,3,FALSE))/VLOOKUP($E55,PEN_STATS!$A$2:$V$10,4,FALSE)))</f>
        <v/>
      </c>
      <c r="S55" s="25">
        <f>IF($L55="","",IF(VLOOKUP($E55,PEN_STATS!$A$2:$V$10,7,FALSE)=0,0,-($L55-VLOOKUP($E55,PEN_STATS!$A$2:$V$10,6,FALSE))/VLOOKUP($E55,PEN_STATS!$A$2:$V$10,7,FALSE)))</f>
        <v/>
      </c>
      <c r="T55" s="25">
        <f>IF($M55="","",IF(VLOOKUP($E55,PEN_STATS!$A$2:$V$10,10,FALSE)=0,0,-($M55-VLOOKUP($E55,PEN_STATS!$A$2:$V$10,9,FALSE))/VLOOKUP($E55,PEN_STATS!$A$2:$V$10,10,FALSE)))</f>
        <v/>
      </c>
      <c r="U55" s="25">
        <f>IF($N55="","",IF(VLOOKUP($E55,PEN_STATS!$A$2:$V$10,13,FALSE)=0,0,($N55-VLOOKUP($E55,PEN_STATS!$A$2:$V$10,12,FALSE))/VLOOKUP($E55,PEN_STATS!$A$2:$V$10,13,FALSE)))</f>
        <v/>
      </c>
      <c r="V55" s="25">
        <f>IF($O55="","",IF(VLOOKUP($E55,PEN_STATS!$A$2:$V$10,16,FALSE)=0,0,($O55-VLOOKUP($E55,PEN_STATS!$A$2:$V$10,15,FALSE))/VLOOKUP($E55,PEN_STATS!$A$2:$V$10,16,FALSE)))</f>
        <v/>
      </c>
      <c r="W55" s="25">
        <f>IF($P55="","",IF(VLOOKUP($E55,PEN_STATS!$A$2:$V$10,19,FALSE)=0,0,($P55-VLOOKUP($E55,PEN_STATS!$A$2:$V$10,18,FALSE))/VLOOKUP($E55,PEN_STATS!$A$2:$V$10,19,FALSE)))</f>
        <v/>
      </c>
      <c r="X55" s="25">
        <f>IF($Q55="","",IF(VLOOKUP($E55,PEN_STATS!$A$2:$V$10,22,FALSE)=0,0,($Q55-VLOOKUP($E55,PEN_STATS!$A$2:$V$10,21,FALSE))/VLOOKUP($E55,PEN_STATS!$A$2:$V$10,22,FALSE)))</f>
        <v/>
      </c>
      <c r="Y55" s="25">
        <f>IF($A55="","",'WEIGHTS_&amp;_RULES'!$B$12*$R55+'WEIGHTS_&amp;_RULES'!$B$13*$S55+'WEIGHTS_&amp;_RULES'!$B$14*$T55+'WEIGHTS_&amp;_RULES'!$B$15*$U55)</f>
        <v/>
      </c>
      <c r="Z55" s="25">
        <f>IF($A55="","",'WEIGHTS_&amp;_RULES'!$B$19*$V55+'WEIGHTS_&amp;_RULES'!$B$20*$W55)</f>
        <v/>
      </c>
      <c r="AA55" s="25">
        <f>IF($A55="","",'WEIGHTS_&amp;_RULES'!$B$24*$X55)</f>
        <v/>
      </c>
      <c r="AB55" s="25">
        <f>IF($A55="","",'WEIGHTS_&amp;_RULES'!$B$7*$Y55+'WEIGHTS_&amp;_RULES'!$B$8*$Z55+'WEIGHTS_&amp;_RULES'!$B$9*$AA55)</f>
        <v/>
      </c>
    </row>
    <row r="56">
      <c r="A56" s="9">
        <f>ANIMALS!A52</f>
        <v/>
      </c>
      <c r="B56" s="9">
        <f>ANIMALS!B52</f>
        <v/>
      </c>
      <c r="C56" s="9">
        <f>ANIMALS!D52</f>
        <v/>
      </c>
      <c r="D56" s="9">
        <f>ANIMALS!G52</f>
        <v/>
      </c>
      <c r="E56" s="9">
        <f>ANIMALS!H52</f>
        <v/>
      </c>
      <c r="F56" s="9">
        <f>ANIMALS!I52</f>
        <v/>
      </c>
      <c r="G56" s="9">
        <f>ANIMALS!O52</f>
        <v/>
      </c>
      <c r="H56" s="9">
        <f>ANIMALS!P52</f>
        <v/>
      </c>
      <c r="I56" s="9">
        <f>ANIMALS!Q52</f>
        <v/>
      </c>
      <c r="J56" s="9">
        <f>ANIMALS!R52</f>
        <v/>
      </c>
      <c r="K56" s="27">
        <f>IF($A56="","",AVERAGEIFS(PERFORMANCE!$F$2:$F$1000,PERFORMANCE!$C$2:$C$1000,$A56,PERFORMANCE!$E$2:$E$1000,"FAMACHA",PERFORMANCE!$B$2:$B$1000,$B$3))</f>
        <v/>
      </c>
      <c r="L56" s="7">
        <f>IF($A56="","",AVERAGEIFS(PERFORMANCE!$F$2:$F$1000,PERFORMANCE!$C$2:$C$1000,$A56,PERFORMANCE!$E$2:$E$1000,"FEC",PERFORMANCE!$B$2:$B$1000,$B$3))</f>
        <v/>
      </c>
      <c r="M56" s="7">
        <f>IF($A56="","",COUNTIFS(PERFORMANCE!$C$2:$C$1000,$A56,PERFORMANCE!$E$2:$E$1000,"DEWORM",PERFORMANCE!$B$2:$B$1000,$B$3))</f>
        <v/>
      </c>
      <c r="N56" s="29">
        <f>IF($A56="","",AVERAGEIFS(REPRODUCTION!$E$2:$E$1000,REPRODUCTION!$B$2:$B$1000,$A56,REPRODUCTION!$A$2:$A$1000,$B$3))</f>
        <v/>
      </c>
      <c r="O56" s="27">
        <f>IF($A56="","",AVERAGEIFS(PERFORMANCE!$F$2:$F$1000,PERFORMANCE!$C$2:$C$1000,$A56,PERFORMANCE!$E$2:$E$1000,"WEAN_WT",PERFORMANCE!$B$2:$B$1000,$B$3))</f>
        <v/>
      </c>
      <c r="P56" s="25">
        <f>IF($A56="","",AVERAGEIFS(PERFORMANCE!$F$2:$F$1000,PERFORMANCE!$C$2:$C$1000,$A56,PERFORMANCE!$E$2:$E$1000,"ADG",PERFORMANCE!$B$2:$B$1000,$B$3))</f>
        <v/>
      </c>
      <c r="Q56" s="27">
        <f>IF($A56="","",AVERAGEIFS(PERFORMANCE!$F$2:$F$1000,PERFORMANCE!$C$2:$C$1000,$A56,PERFORMANCE!$E$2:$E$1000,"SHEDDING",PERFORMANCE!$B$2:$B$1000,$B$3))</f>
        <v/>
      </c>
      <c r="R56" s="25">
        <f>IF($K56="","",IF(VLOOKUP($E56,PEN_STATS!$A$2:$V$10,4,FALSE)=0,0,-($K56-VLOOKUP($E56,PEN_STATS!$A$2:$V$10,3,FALSE))/VLOOKUP($E56,PEN_STATS!$A$2:$V$10,4,FALSE)))</f>
        <v/>
      </c>
      <c r="S56" s="25">
        <f>IF($L56="","",IF(VLOOKUP($E56,PEN_STATS!$A$2:$V$10,7,FALSE)=0,0,-($L56-VLOOKUP($E56,PEN_STATS!$A$2:$V$10,6,FALSE))/VLOOKUP($E56,PEN_STATS!$A$2:$V$10,7,FALSE)))</f>
        <v/>
      </c>
      <c r="T56" s="25">
        <f>IF($M56="","",IF(VLOOKUP($E56,PEN_STATS!$A$2:$V$10,10,FALSE)=0,0,-($M56-VLOOKUP($E56,PEN_STATS!$A$2:$V$10,9,FALSE))/VLOOKUP($E56,PEN_STATS!$A$2:$V$10,10,FALSE)))</f>
        <v/>
      </c>
      <c r="U56" s="25">
        <f>IF($N56="","",IF(VLOOKUP($E56,PEN_STATS!$A$2:$V$10,13,FALSE)=0,0,($N56-VLOOKUP($E56,PEN_STATS!$A$2:$V$10,12,FALSE))/VLOOKUP($E56,PEN_STATS!$A$2:$V$10,13,FALSE)))</f>
        <v/>
      </c>
      <c r="V56" s="25">
        <f>IF($O56="","",IF(VLOOKUP($E56,PEN_STATS!$A$2:$V$10,16,FALSE)=0,0,($O56-VLOOKUP($E56,PEN_STATS!$A$2:$V$10,15,FALSE))/VLOOKUP($E56,PEN_STATS!$A$2:$V$10,16,FALSE)))</f>
        <v/>
      </c>
      <c r="W56" s="25">
        <f>IF($P56="","",IF(VLOOKUP($E56,PEN_STATS!$A$2:$V$10,19,FALSE)=0,0,($P56-VLOOKUP($E56,PEN_STATS!$A$2:$V$10,18,FALSE))/VLOOKUP($E56,PEN_STATS!$A$2:$V$10,19,FALSE)))</f>
        <v/>
      </c>
      <c r="X56" s="25">
        <f>IF($Q56="","",IF(VLOOKUP($E56,PEN_STATS!$A$2:$V$10,22,FALSE)=0,0,($Q56-VLOOKUP($E56,PEN_STATS!$A$2:$V$10,21,FALSE))/VLOOKUP($E56,PEN_STATS!$A$2:$V$10,22,FALSE)))</f>
        <v/>
      </c>
      <c r="Y56" s="25">
        <f>IF($A56="","",'WEIGHTS_&amp;_RULES'!$B$12*$R56+'WEIGHTS_&amp;_RULES'!$B$13*$S56+'WEIGHTS_&amp;_RULES'!$B$14*$T56+'WEIGHTS_&amp;_RULES'!$B$15*$U56)</f>
        <v/>
      </c>
      <c r="Z56" s="25">
        <f>IF($A56="","",'WEIGHTS_&amp;_RULES'!$B$19*$V56+'WEIGHTS_&amp;_RULES'!$B$20*$W56)</f>
        <v/>
      </c>
      <c r="AA56" s="25">
        <f>IF($A56="","",'WEIGHTS_&amp;_RULES'!$B$24*$X56)</f>
        <v/>
      </c>
      <c r="AB56" s="25">
        <f>IF($A56="","",'WEIGHTS_&amp;_RULES'!$B$7*$Y56+'WEIGHTS_&amp;_RULES'!$B$8*$Z56+'WEIGHTS_&amp;_RULES'!$B$9*$AA56)</f>
        <v/>
      </c>
    </row>
    <row r="57">
      <c r="A57" s="9">
        <f>ANIMALS!A53</f>
        <v/>
      </c>
      <c r="B57" s="9">
        <f>ANIMALS!B53</f>
        <v/>
      </c>
      <c r="C57" s="9">
        <f>ANIMALS!D53</f>
        <v/>
      </c>
      <c r="D57" s="9">
        <f>ANIMALS!G53</f>
        <v/>
      </c>
      <c r="E57" s="9">
        <f>ANIMALS!H53</f>
        <v/>
      </c>
      <c r="F57" s="9">
        <f>ANIMALS!I53</f>
        <v/>
      </c>
      <c r="G57" s="9">
        <f>ANIMALS!O53</f>
        <v/>
      </c>
      <c r="H57" s="9">
        <f>ANIMALS!P53</f>
        <v/>
      </c>
      <c r="I57" s="9">
        <f>ANIMALS!Q53</f>
        <v/>
      </c>
      <c r="J57" s="9">
        <f>ANIMALS!R53</f>
        <v/>
      </c>
      <c r="K57" s="27">
        <f>IF($A57="","",AVERAGEIFS(PERFORMANCE!$F$2:$F$1000,PERFORMANCE!$C$2:$C$1000,$A57,PERFORMANCE!$E$2:$E$1000,"FAMACHA",PERFORMANCE!$B$2:$B$1000,$B$3))</f>
        <v/>
      </c>
      <c r="L57" s="7">
        <f>IF($A57="","",AVERAGEIFS(PERFORMANCE!$F$2:$F$1000,PERFORMANCE!$C$2:$C$1000,$A57,PERFORMANCE!$E$2:$E$1000,"FEC",PERFORMANCE!$B$2:$B$1000,$B$3))</f>
        <v/>
      </c>
      <c r="M57" s="7">
        <f>IF($A57="","",COUNTIFS(PERFORMANCE!$C$2:$C$1000,$A57,PERFORMANCE!$E$2:$E$1000,"DEWORM",PERFORMANCE!$B$2:$B$1000,$B$3))</f>
        <v/>
      </c>
      <c r="N57" s="29">
        <f>IF($A57="","",AVERAGEIFS(REPRODUCTION!$E$2:$E$1000,REPRODUCTION!$B$2:$B$1000,$A57,REPRODUCTION!$A$2:$A$1000,$B$3))</f>
        <v/>
      </c>
      <c r="O57" s="27">
        <f>IF($A57="","",AVERAGEIFS(PERFORMANCE!$F$2:$F$1000,PERFORMANCE!$C$2:$C$1000,$A57,PERFORMANCE!$E$2:$E$1000,"WEAN_WT",PERFORMANCE!$B$2:$B$1000,$B$3))</f>
        <v/>
      </c>
      <c r="P57" s="25">
        <f>IF($A57="","",AVERAGEIFS(PERFORMANCE!$F$2:$F$1000,PERFORMANCE!$C$2:$C$1000,$A57,PERFORMANCE!$E$2:$E$1000,"ADG",PERFORMANCE!$B$2:$B$1000,$B$3))</f>
        <v/>
      </c>
      <c r="Q57" s="27">
        <f>IF($A57="","",AVERAGEIFS(PERFORMANCE!$F$2:$F$1000,PERFORMANCE!$C$2:$C$1000,$A57,PERFORMANCE!$E$2:$E$1000,"SHEDDING",PERFORMANCE!$B$2:$B$1000,$B$3))</f>
        <v/>
      </c>
      <c r="R57" s="25">
        <f>IF($K57="","",IF(VLOOKUP($E57,PEN_STATS!$A$2:$V$10,4,FALSE)=0,0,-($K57-VLOOKUP($E57,PEN_STATS!$A$2:$V$10,3,FALSE))/VLOOKUP($E57,PEN_STATS!$A$2:$V$10,4,FALSE)))</f>
        <v/>
      </c>
      <c r="S57" s="25">
        <f>IF($L57="","",IF(VLOOKUP($E57,PEN_STATS!$A$2:$V$10,7,FALSE)=0,0,-($L57-VLOOKUP($E57,PEN_STATS!$A$2:$V$10,6,FALSE))/VLOOKUP($E57,PEN_STATS!$A$2:$V$10,7,FALSE)))</f>
        <v/>
      </c>
      <c r="T57" s="25">
        <f>IF($M57="","",IF(VLOOKUP($E57,PEN_STATS!$A$2:$V$10,10,FALSE)=0,0,-($M57-VLOOKUP($E57,PEN_STATS!$A$2:$V$10,9,FALSE))/VLOOKUP($E57,PEN_STATS!$A$2:$V$10,10,FALSE)))</f>
        <v/>
      </c>
      <c r="U57" s="25">
        <f>IF($N57="","",IF(VLOOKUP($E57,PEN_STATS!$A$2:$V$10,13,FALSE)=0,0,($N57-VLOOKUP($E57,PEN_STATS!$A$2:$V$10,12,FALSE))/VLOOKUP($E57,PEN_STATS!$A$2:$V$10,13,FALSE)))</f>
        <v/>
      </c>
      <c r="V57" s="25">
        <f>IF($O57="","",IF(VLOOKUP($E57,PEN_STATS!$A$2:$V$10,16,FALSE)=0,0,($O57-VLOOKUP($E57,PEN_STATS!$A$2:$V$10,15,FALSE))/VLOOKUP($E57,PEN_STATS!$A$2:$V$10,16,FALSE)))</f>
        <v/>
      </c>
      <c r="W57" s="25">
        <f>IF($P57="","",IF(VLOOKUP($E57,PEN_STATS!$A$2:$V$10,19,FALSE)=0,0,($P57-VLOOKUP($E57,PEN_STATS!$A$2:$V$10,18,FALSE))/VLOOKUP($E57,PEN_STATS!$A$2:$V$10,19,FALSE)))</f>
        <v/>
      </c>
      <c r="X57" s="25">
        <f>IF($Q57="","",IF(VLOOKUP($E57,PEN_STATS!$A$2:$V$10,22,FALSE)=0,0,($Q57-VLOOKUP($E57,PEN_STATS!$A$2:$V$10,21,FALSE))/VLOOKUP($E57,PEN_STATS!$A$2:$V$10,22,FALSE)))</f>
        <v/>
      </c>
      <c r="Y57" s="25">
        <f>IF($A57="","",'WEIGHTS_&amp;_RULES'!$B$12*$R57+'WEIGHTS_&amp;_RULES'!$B$13*$S57+'WEIGHTS_&amp;_RULES'!$B$14*$T57+'WEIGHTS_&amp;_RULES'!$B$15*$U57)</f>
        <v/>
      </c>
      <c r="Z57" s="25">
        <f>IF($A57="","",'WEIGHTS_&amp;_RULES'!$B$19*$V57+'WEIGHTS_&amp;_RULES'!$B$20*$W57)</f>
        <v/>
      </c>
      <c r="AA57" s="25">
        <f>IF($A57="","",'WEIGHTS_&amp;_RULES'!$B$24*$X57)</f>
        <v/>
      </c>
      <c r="AB57" s="25">
        <f>IF($A57="","",'WEIGHTS_&amp;_RULES'!$B$7*$Y57+'WEIGHTS_&amp;_RULES'!$B$8*$Z57+'WEIGHTS_&amp;_RULES'!$B$9*$AA57)</f>
        <v/>
      </c>
    </row>
    <row r="58">
      <c r="A58" s="9">
        <f>ANIMALS!A54</f>
        <v/>
      </c>
      <c r="B58" s="9">
        <f>ANIMALS!B54</f>
        <v/>
      </c>
      <c r="C58" s="9">
        <f>ANIMALS!D54</f>
        <v/>
      </c>
      <c r="D58" s="9">
        <f>ANIMALS!G54</f>
        <v/>
      </c>
      <c r="E58" s="9">
        <f>ANIMALS!H54</f>
        <v/>
      </c>
      <c r="F58" s="9">
        <f>ANIMALS!I54</f>
        <v/>
      </c>
      <c r="G58" s="9">
        <f>ANIMALS!O54</f>
        <v/>
      </c>
      <c r="H58" s="9">
        <f>ANIMALS!P54</f>
        <v/>
      </c>
      <c r="I58" s="9">
        <f>ANIMALS!Q54</f>
        <v/>
      </c>
      <c r="J58" s="9">
        <f>ANIMALS!R54</f>
        <v/>
      </c>
      <c r="K58" s="27">
        <f>IF($A58="","",AVERAGEIFS(PERFORMANCE!$F$2:$F$1000,PERFORMANCE!$C$2:$C$1000,$A58,PERFORMANCE!$E$2:$E$1000,"FAMACHA",PERFORMANCE!$B$2:$B$1000,$B$3))</f>
        <v/>
      </c>
      <c r="L58" s="7">
        <f>IF($A58="","",AVERAGEIFS(PERFORMANCE!$F$2:$F$1000,PERFORMANCE!$C$2:$C$1000,$A58,PERFORMANCE!$E$2:$E$1000,"FEC",PERFORMANCE!$B$2:$B$1000,$B$3))</f>
        <v/>
      </c>
      <c r="M58" s="7">
        <f>IF($A58="","",COUNTIFS(PERFORMANCE!$C$2:$C$1000,$A58,PERFORMANCE!$E$2:$E$1000,"DEWORM",PERFORMANCE!$B$2:$B$1000,$B$3))</f>
        <v/>
      </c>
      <c r="N58" s="29">
        <f>IF($A58="","",AVERAGEIFS(REPRODUCTION!$E$2:$E$1000,REPRODUCTION!$B$2:$B$1000,$A58,REPRODUCTION!$A$2:$A$1000,$B$3))</f>
        <v/>
      </c>
      <c r="O58" s="27">
        <f>IF($A58="","",AVERAGEIFS(PERFORMANCE!$F$2:$F$1000,PERFORMANCE!$C$2:$C$1000,$A58,PERFORMANCE!$E$2:$E$1000,"WEAN_WT",PERFORMANCE!$B$2:$B$1000,$B$3))</f>
        <v/>
      </c>
      <c r="P58" s="25">
        <f>IF($A58="","",AVERAGEIFS(PERFORMANCE!$F$2:$F$1000,PERFORMANCE!$C$2:$C$1000,$A58,PERFORMANCE!$E$2:$E$1000,"ADG",PERFORMANCE!$B$2:$B$1000,$B$3))</f>
        <v/>
      </c>
      <c r="Q58" s="27">
        <f>IF($A58="","",AVERAGEIFS(PERFORMANCE!$F$2:$F$1000,PERFORMANCE!$C$2:$C$1000,$A58,PERFORMANCE!$E$2:$E$1000,"SHEDDING",PERFORMANCE!$B$2:$B$1000,$B$3))</f>
        <v/>
      </c>
      <c r="R58" s="25">
        <f>IF($K58="","",IF(VLOOKUP($E58,PEN_STATS!$A$2:$V$10,4,FALSE)=0,0,-($K58-VLOOKUP($E58,PEN_STATS!$A$2:$V$10,3,FALSE))/VLOOKUP($E58,PEN_STATS!$A$2:$V$10,4,FALSE)))</f>
        <v/>
      </c>
      <c r="S58" s="25">
        <f>IF($L58="","",IF(VLOOKUP($E58,PEN_STATS!$A$2:$V$10,7,FALSE)=0,0,-($L58-VLOOKUP($E58,PEN_STATS!$A$2:$V$10,6,FALSE))/VLOOKUP($E58,PEN_STATS!$A$2:$V$10,7,FALSE)))</f>
        <v/>
      </c>
      <c r="T58" s="25">
        <f>IF($M58="","",IF(VLOOKUP($E58,PEN_STATS!$A$2:$V$10,10,FALSE)=0,0,-($M58-VLOOKUP($E58,PEN_STATS!$A$2:$V$10,9,FALSE))/VLOOKUP($E58,PEN_STATS!$A$2:$V$10,10,FALSE)))</f>
        <v/>
      </c>
      <c r="U58" s="25">
        <f>IF($N58="","",IF(VLOOKUP($E58,PEN_STATS!$A$2:$V$10,13,FALSE)=0,0,($N58-VLOOKUP($E58,PEN_STATS!$A$2:$V$10,12,FALSE))/VLOOKUP($E58,PEN_STATS!$A$2:$V$10,13,FALSE)))</f>
        <v/>
      </c>
      <c r="V58" s="25">
        <f>IF($O58="","",IF(VLOOKUP($E58,PEN_STATS!$A$2:$V$10,16,FALSE)=0,0,($O58-VLOOKUP($E58,PEN_STATS!$A$2:$V$10,15,FALSE))/VLOOKUP($E58,PEN_STATS!$A$2:$V$10,16,FALSE)))</f>
        <v/>
      </c>
      <c r="W58" s="25">
        <f>IF($P58="","",IF(VLOOKUP($E58,PEN_STATS!$A$2:$V$10,19,FALSE)=0,0,($P58-VLOOKUP($E58,PEN_STATS!$A$2:$V$10,18,FALSE))/VLOOKUP($E58,PEN_STATS!$A$2:$V$10,19,FALSE)))</f>
        <v/>
      </c>
      <c r="X58" s="25">
        <f>IF($Q58="","",IF(VLOOKUP($E58,PEN_STATS!$A$2:$V$10,22,FALSE)=0,0,($Q58-VLOOKUP($E58,PEN_STATS!$A$2:$V$10,21,FALSE))/VLOOKUP($E58,PEN_STATS!$A$2:$V$10,22,FALSE)))</f>
        <v/>
      </c>
      <c r="Y58" s="25">
        <f>IF($A58="","",'WEIGHTS_&amp;_RULES'!$B$12*$R58+'WEIGHTS_&amp;_RULES'!$B$13*$S58+'WEIGHTS_&amp;_RULES'!$B$14*$T58+'WEIGHTS_&amp;_RULES'!$B$15*$U58)</f>
        <v/>
      </c>
      <c r="Z58" s="25">
        <f>IF($A58="","",'WEIGHTS_&amp;_RULES'!$B$19*$V58+'WEIGHTS_&amp;_RULES'!$B$20*$W58)</f>
        <v/>
      </c>
      <c r="AA58" s="25">
        <f>IF($A58="","",'WEIGHTS_&amp;_RULES'!$B$24*$X58)</f>
        <v/>
      </c>
      <c r="AB58" s="25">
        <f>IF($A58="","",'WEIGHTS_&amp;_RULES'!$B$7*$Y58+'WEIGHTS_&amp;_RULES'!$B$8*$Z58+'WEIGHTS_&amp;_RULES'!$B$9*$AA58)</f>
        <v/>
      </c>
    </row>
    <row r="59">
      <c r="A59" s="9">
        <f>ANIMALS!A55</f>
        <v/>
      </c>
      <c r="B59" s="9">
        <f>ANIMALS!B55</f>
        <v/>
      </c>
      <c r="C59" s="9">
        <f>ANIMALS!D55</f>
        <v/>
      </c>
      <c r="D59" s="9">
        <f>ANIMALS!G55</f>
        <v/>
      </c>
      <c r="E59" s="9">
        <f>ANIMALS!H55</f>
        <v/>
      </c>
      <c r="F59" s="9">
        <f>ANIMALS!I55</f>
        <v/>
      </c>
      <c r="G59" s="9">
        <f>ANIMALS!O55</f>
        <v/>
      </c>
      <c r="H59" s="9">
        <f>ANIMALS!P55</f>
        <v/>
      </c>
      <c r="I59" s="9">
        <f>ANIMALS!Q55</f>
        <v/>
      </c>
      <c r="J59" s="9">
        <f>ANIMALS!R55</f>
        <v/>
      </c>
      <c r="K59" s="27">
        <f>IF($A59="","",AVERAGEIFS(PERFORMANCE!$F$2:$F$1000,PERFORMANCE!$C$2:$C$1000,$A59,PERFORMANCE!$E$2:$E$1000,"FAMACHA",PERFORMANCE!$B$2:$B$1000,$B$3))</f>
        <v/>
      </c>
      <c r="L59" s="7">
        <f>IF($A59="","",AVERAGEIFS(PERFORMANCE!$F$2:$F$1000,PERFORMANCE!$C$2:$C$1000,$A59,PERFORMANCE!$E$2:$E$1000,"FEC",PERFORMANCE!$B$2:$B$1000,$B$3))</f>
        <v/>
      </c>
      <c r="M59" s="7">
        <f>IF($A59="","",COUNTIFS(PERFORMANCE!$C$2:$C$1000,$A59,PERFORMANCE!$E$2:$E$1000,"DEWORM",PERFORMANCE!$B$2:$B$1000,$B$3))</f>
        <v/>
      </c>
      <c r="N59" s="29">
        <f>IF($A59="","",AVERAGEIFS(REPRODUCTION!$E$2:$E$1000,REPRODUCTION!$B$2:$B$1000,$A59,REPRODUCTION!$A$2:$A$1000,$B$3))</f>
        <v/>
      </c>
      <c r="O59" s="27">
        <f>IF($A59="","",AVERAGEIFS(PERFORMANCE!$F$2:$F$1000,PERFORMANCE!$C$2:$C$1000,$A59,PERFORMANCE!$E$2:$E$1000,"WEAN_WT",PERFORMANCE!$B$2:$B$1000,$B$3))</f>
        <v/>
      </c>
      <c r="P59" s="25">
        <f>IF($A59="","",AVERAGEIFS(PERFORMANCE!$F$2:$F$1000,PERFORMANCE!$C$2:$C$1000,$A59,PERFORMANCE!$E$2:$E$1000,"ADG",PERFORMANCE!$B$2:$B$1000,$B$3))</f>
        <v/>
      </c>
      <c r="Q59" s="27">
        <f>IF($A59="","",AVERAGEIFS(PERFORMANCE!$F$2:$F$1000,PERFORMANCE!$C$2:$C$1000,$A59,PERFORMANCE!$E$2:$E$1000,"SHEDDING",PERFORMANCE!$B$2:$B$1000,$B$3))</f>
        <v/>
      </c>
      <c r="R59" s="25">
        <f>IF($K59="","",IF(VLOOKUP($E59,PEN_STATS!$A$2:$V$10,4,FALSE)=0,0,-($K59-VLOOKUP($E59,PEN_STATS!$A$2:$V$10,3,FALSE))/VLOOKUP($E59,PEN_STATS!$A$2:$V$10,4,FALSE)))</f>
        <v/>
      </c>
      <c r="S59" s="25">
        <f>IF($L59="","",IF(VLOOKUP($E59,PEN_STATS!$A$2:$V$10,7,FALSE)=0,0,-($L59-VLOOKUP($E59,PEN_STATS!$A$2:$V$10,6,FALSE))/VLOOKUP($E59,PEN_STATS!$A$2:$V$10,7,FALSE)))</f>
        <v/>
      </c>
      <c r="T59" s="25">
        <f>IF($M59="","",IF(VLOOKUP($E59,PEN_STATS!$A$2:$V$10,10,FALSE)=0,0,-($M59-VLOOKUP($E59,PEN_STATS!$A$2:$V$10,9,FALSE))/VLOOKUP($E59,PEN_STATS!$A$2:$V$10,10,FALSE)))</f>
        <v/>
      </c>
      <c r="U59" s="25">
        <f>IF($N59="","",IF(VLOOKUP($E59,PEN_STATS!$A$2:$V$10,13,FALSE)=0,0,($N59-VLOOKUP($E59,PEN_STATS!$A$2:$V$10,12,FALSE))/VLOOKUP($E59,PEN_STATS!$A$2:$V$10,13,FALSE)))</f>
        <v/>
      </c>
      <c r="V59" s="25">
        <f>IF($O59="","",IF(VLOOKUP($E59,PEN_STATS!$A$2:$V$10,16,FALSE)=0,0,($O59-VLOOKUP($E59,PEN_STATS!$A$2:$V$10,15,FALSE))/VLOOKUP($E59,PEN_STATS!$A$2:$V$10,16,FALSE)))</f>
        <v/>
      </c>
      <c r="W59" s="25">
        <f>IF($P59="","",IF(VLOOKUP($E59,PEN_STATS!$A$2:$V$10,19,FALSE)=0,0,($P59-VLOOKUP($E59,PEN_STATS!$A$2:$V$10,18,FALSE))/VLOOKUP($E59,PEN_STATS!$A$2:$V$10,19,FALSE)))</f>
        <v/>
      </c>
      <c r="X59" s="25">
        <f>IF($Q59="","",IF(VLOOKUP($E59,PEN_STATS!$A$2:$V$10,22,FALSE)=0,0,($Q59-VLOOKUP($E59,PEN_STATS!$A$2:$V$10,21,FALSE))/VLOOKUP($E59,PEN_STATS!$A$2:$V$10,22,FALSE)))</f>
        <v/>
      </c>
      <c r="Y59" s="25">
        <f>IF($A59="","",'WEIGHTS_&amp;_RULES'!$B$12*$R59+'WEIGHTS_&amp;_RULES'!$B$13*$S59+'WEIGHTS_&amp;_RULES'!$B$14*$T59+'WEIGHTS_&amp;_RULES'!$B$15*$U59)</f>
        <v/>
      </c>
      <c r="Z59" s="25">
        <f>IF($A59="","",'WEIGHTS_&amp;_RULES'!$B$19*$V59+'WEIGHTS_&amp;_RULES'!$B$20*$W59)</f>
        <v/>
      </c>
      <c r="AA59" s="25">
        <f>IF($A59="","",'WEIGHTS_&amp;_RULES'!$B$24*$X59)</f>
        <v/>
      </c>
      <c r="AB59" s="25">
        <f>IF($A59="","",'WEIGHTS_&amp;_RULES'!$B$7*$Y59+'WEIGHTS_&amp;_RULES'!$B$8*$Z59+'WEIGHTS_&amp;_RULES'!$B$9*$AA59)</f>
        <v/>
      </c>
    </row>
    <row r="60">
      <c r="A60" s="9">
        <f>ANIMALS!A56</f>
        <v/>
      </c>
      <c r="B60" s="9">
        <f>ANIMALS!B56</f>
        <v/>
      </c>
      <c r="C60" s="9">
        <f>ANIMALS!D56</f>
        <v/>
      </c>
      <c r="D60" s="9">
        <f>ANIMALS!G56</f>
        <v/>
      </c>
      <c r="E60" s="9">
        <f>ANIMALS!H56</f>
        <v/>
      </c>
      <c r="F60" s="9">
        <f>ANIMALS!I56</f>
        <v/>
      </c>
      <c r="G60" s="9">
        <f>ANIMALS!O56</f>
        <v/>
      </c>
      <c r="H60" s="9">
        <f>ANIMALS!P56</f>
        <v/>
      </c>
      <c r="I60" s="9">
        <f>ANIMALS!Q56</f>
        <v/>
      </c>
      <c r="J60" s="9">
        <f>ANIMALS!R56</f>
        <v/>
      </c>
      <c r="K60" s="27">
        <f>IF($A60="","",AVERAGEIFS(PERFORMANCE!$F$2:$F$1000,PERFORMANCE!$C$2:$C$1000,$A60,PERFORMANCE!$E$2:$E$1000,"FAMACHA",PERFORMANCE!$B$2:$B$1000,$B$3))</f>
        <v/>
      </c>
      <c r="L60" s="7">
        <f>IF($A60="","",AVERAGEIFS(PERFORMANCE!$F$2:$F$1000,PERFORMANCE!$C$2:$C$1000,$A60,PERFORMANCE!$E$2:$E$1000,"FEC",PERFORMANCE!$B$2:$B$1000,$B$3))</f>
        <v/>
      </c>
      <c r="M60" s="7">
        <f>IF($A60="","",COUNTIFS(PERFORMANCE!$C$2:$C$1000,$A60,PERFORMANCE!$E$2:$E$1000,"DEWORM",PERFORMANCE!$B$2:$B$1000,$B$3))</f>
        <v/>
      </c>
      <c r="N60" s="29">
        <f>IF($A60="","",AVERAGEIFS(REPRODUCTION!$E$2:$E$1000,REPRODUCTION!$B$2:$B$1000,$A60,REPRODUCTION!$A$2:$A$1000,$B$3))</f>
        <v/>
      </c>
      <c r="O60" s="27">
        <f>IF($A60="","",AVERAGEIFS(PERFORMANCE!$F$2:$F$1000,PERFORMANCE!$C$2:$C$1000,$A60,PERFORMANCE!$E$2:$E$1000,"WEAN_WT",PERFORMANCE!$B$2:$B$1000,$B$3))</f>
        <v/>
      </c>
      <c r="P60" s="25">
        <f>IF($A60="","",AVERAGEIFS(PERFORMANCE!$F$2:$F$1000,PERFORMANCE!$C$2:$C$1000,$A60,PERFORMANCE!$E$2:$E$1000,"ADG",PERFORMANCE!$B$2:$B$1000,$B$3))</f>
        <v/>
      </c>
      <c r="Q60" s="27">
        <f>IF($A60="","",AVERAGEIFS(PERFORMANCE!$F$2:$F$1000,PERFORMANCE!$C$2:$C$1000,$A60,PERFORMANCE!$E$2:$E$1000,"SHEDDING",PERFORMANCE!$B$2:$B$1000,$B$3))</f>
        <v/>
      </c>
      <c r="R60" s="25">
        <f>IF($K60="","",IF(VLOOKUP($E60,PEN_STATS!$A$2:$V$10,4,FALSE)=0,0,-($K60-VLOOKUP($E60,PEN_STATS!$A$2:$V$10,3,FALSE))/VLOOKUP($E60,PEN_STATS!$A$2:$V$10,4,FALSE)))</f>
        <v/>
      </c>
      <c r="S60" s="25">
        <f>IF($L60="","",IF(VLOOKUP($E60,PEN_STATS!$A$2:$V$10,7,FALSE)=0,0,-($L60-VLOOKUP($E60,PEN_STATS!$A$2:$V$10,6,FALSE))/VLOOKUP($E60,PEN_STATS!$A$2:$V$10,7,FALSE)))</f>
        <v/>
      </c>
      <c r="T60" s="25">
        <f>IF($M60="","",IF(VLOOKUP($E60,PEN_STATS!$A$2:$V$10,10,FALSE)=0,0,-($M60-VLOOKUP($E60,PEN_STATS!$A$2:$V$10,9,FALSE))/VLOOKUP($E60,PEN_STATS!$A$2:$V$10,10,FALSE)))</f>
        <v/>
      </c>
      <c r="U60" s="25">
        <f>IF($N60="","",IF(VLOOKUP($E60,PEN_STATS!$A$2:$V$10,13,FALSE)=0,0,($N60-VLOOKUP($E60,PEN_STATS!$A$2:$V$10,12,FALSE))/VLOOKUP($E60,PEN_STATS!$A$2:$V$10,13,FALSE)))</f>
        <v/>
      </c>
      <c r="V60" s="25">
        <f>IF($O60="","",IF(VLOOKUP($E60,PEN_STATS!$A$2:$V$10,16,FALSE)=0,0,($O60-VLOOKUP($E60,PEN_STATS!$A$2:$V$10,15,FALSE))/VLOOKUP($E60,PEN_STATS!$A$2:$V$10,16,FALSE)))</f>
        <v/>
      </c>
      <c r="W60" s="25">
        <f>IF($P60="","",IF(VLOOKUP($E60,PEN_STATS!$A$2:$V$10,19,FALSE)=0,0,($P60-VLOOKUP($E60,PEN_STATS!$A$2:$V$10,18,FALSE))/VLOOKUP($E60,PEN_STATS!$A$2:$V$10,19,FALSE)))</f>
        <v/>
      </c>
      <c r="X60" s="25">
        <f>IF($Q60="","",IF(VLOOKUP($E60,PEN_STATS!$A$2:$V$10,22,FALSE)=0,0,($Q60-VLOOKUP($E60,PEN_STATS!$A$2:$V$10,21,FALSE))/VLOOKUP($E60,PEN_STATS!$A$2:$V$10,22,FALSE)))</f>
        <v/>
      </c>
      <c r="Y60" s="25">
        <f>IF($A60="","",'WEIGHTS_&amp;_RULES'!$B$12*$R60+'WEIGHTS_&amp;_RULES'!$B$13*$S60+'WEIGHTS_&amp;_RULES'!$B$14*$T60+'WEIGHTS_&amp;_RULES'!$B$15*$U60)</f>
        <v/>
      </c>
      <c r="Z60" s="25">
        <f>IF($A60="","",'WEIGHTS_&amp;_RULES'!$B$19*$V60+'WEIGHTS_&amp;_RULES'!$B$20*$W60)</f>
        <v/>
      </c>
      <c r="AA60" s="25">
        <f>IF($A60="","",'WEIGHTS_&amp;_RULES'!$B$24*$X60)</f>
        <v/>
      </c>
      <c r="AB60" s="25">
        <f>IF($A60="","",'WEIGHTS_&amp;_RULES'!$B$7*$Y60+'WEIGHTS_&amp;_RULES'!$B$8*$Z60+'WEIGHTS_&amp;_RULES'!$B$9*$AA60)</f>
        <v/>
      </c>
    </row>
    <row r="61">
      <c r="A61" s="9">
        <f>ANIMALS!A57</f>
        <v/>
      </c>
      <c r="B61" s="9">
        <f>ANIMALS!B57</f>
        <v/>
      </c>
      <c r="C61" s="9">
        <f>ANIMALS!D57</f>
        <v/>
      </c>
      <c r="D61" s="9">
        <f>ANIMALS!G57</f>
        <v/>
      </c>
      <c r="E61" s="9">
        <f>ANIMALS!H57</f>
        <v/>
      </c>
      <c r="F61" s="9">
        <f>ANIMALS!I57</f>
        <v/>
      </c>
      <c r="G61" s="9">
        <f>ANIMALS!O57</f>
        <v/>
      </c>
      <c r="H61" s="9">
        <f>ANIMALS!P57</f>
        <v/>
      </c>
      <c r="I61" s="9">
        <f>ANIMALS!Q57</f>
        <v/>
      </c>
      <c r="J61" s="9">
        <f>ANIMALS!R57</f>
        <v/>
      </c>
      <c r="K61" s="27">
        <f>IF($A61="","",AVERAGEIFS(PERFORMANCE!$F$2:$F$1000,PERFORMANCE!$C$2:$C$1000,$A61,PERFORMANCE!$E$2:$E$1000,"FAMACHA",PERFORMANCE!$B$2:$B$1000,$B$3))</f>
        <v/>
      </c>
      <c r="L61" s="7">
        <f>IF($A61="","",AVERAGEIFS(PERFORMANCE!$F$2:$F$1000,PERFORMANCE!$C$2:$C$1000,$A61,PERFORMANCE!$E$2:$E$1000,"FEC",PERFORMANCE!$B$2:$B$1000,$B$3))</f>
        <v/>
      </c>
      <c r="M61" s="7">
        <f>IF($A61="","",COUNTIFS(PERFORMANCE!$C$2:$C$1000,$A61,PERFORMANCE!$E$2:$E$1000,"DEWORM",PERFORMANCE!$B$2:$B$1000,$B$3))</f>
        <v/>
      </c>
      <c r="N61" s="29">
        <f>IF($A61="","",AVERAGEIFS(REPRODUCTION!$E$2:$E$1000,REPRODUCTION!$B$2:$B$1000,$A61,REPRODUCTION!$A$2:$A$1000,$B$3))</f>
        <v/>
      </c>
      <c r="O61" s="27">
        <f>IF($A61="","",AVERAGEIFS(PERFORMANCE!$F$2:$F$1000,PERFORMANCE!$C$2:$C$1000,$A61,PERFORMANCE!$E$2:$E$1000,"WEAN_WT",PERFORMANCE!$B$2:$B$1000,$B$3))</f>
        <v/>
      </c>
      <c r="P61" s="25">
        <f>IF($A61="","",AVERAGEIFS(PERFORMANCE!$F$2:$F$1000,PERFORMANCE!$C$2:$C$1000,$A61,PERFORMANCE!$E$2:$E$1000,"ADG",PERFORMANCE!$B$2:$B$1000,$B$3))</f>
        <v/>
      </c>
      <c r="Q61" s="27">
        <f>IF($A61="","",AVERAGEIFS(PERFORMANCE!$F$2:$F$1000,PERFORMANCE!$C$2:$C$1000,$A61,PERFORMANCE!$E$2:$E$1000,"SHEDDING",PERFORMANCE!$B$2:$B$1000,$B$3))</f>
        <v/>
      </c>
      <c r="R61" s="25">
        <f>IF($K61="","",IF(VLOOKUP($E61,PEN_STATS!$A$2:$V$10,4,FALSE)=0,0,-($K61-VLOOKUP($E61,PEN_STATS!$A$2:$V$10,3,FALSE))/VLOOKUP($E61,PEN_STATS!$A$2:$V$10,4,FALSE)))</f>
        <v/>
      </c>
      <c r="S61" s="25">
        <f>IF($L61="","",IF(VLOOKUP($E61,PEN_STATS!$A$2:$V$10,7,FALSE)=0,0,-($L61-VLOOKUP($E61,PEN_STATS!$A$2:$V$10,6,FALSE))/VLOOKUP($E61,PEN_STATS!$A$2:$V$10,7,FALSE)))</f>
        <v/>
      </c>
      <c r="T61" s="25">
        <f>IF($M61="","",IF(VLOOKUP($E61,PEN_STATS!$A$2:$V$10,10,FALSE)=0,0,-($M61-VLOOKUP($E61,PEN_STATS!$A$2:$V$10,9,FALSE))/VLOOKUP($E61,PEN_STATS!$A$2:$V$10,10,FALSE)))</f>
        <v/>
      </c>
      <c r="U61" s="25">
        <f>IF($N61="","",IF(VLOOKUP($E61,PEN_STATS!$A$2:$V$10,13,FALSE)=0,0,($N61-VLOOKUP($E61,PEN_STATS!$A$2:$V$10,12,FALSE))/VLOOKUP($E61,PEN_STATS!$A$2:$V$10,13,FALSE)))</f>
        <v/>
      </c>
      <c r="V61" s="25">
        <f>IF($O61="","",IF(VLOOKUP($E61,PEN_STATS!$A$2:$V$10,16,FALSE)=0,0,($O61-VLOOKUP($E61,PEN_STATS!$A$2:$V$10,15,FALSE))/VLOOKUP($E61,PEN_STATS!$A$2:$V$10,16,FALSE)))</f>
        <v/>
      </c>
      <c r="W61" s="25">
        <f>IF($P61="","",IF(VLOOKUP($E61,PEN_STATS!$A$2:$V$10,19,FALSE)=0,0,($P61-VLOOKUP($E61,PEN_STATS!$A$2:$V$10,18,FALSE))/VLOOKUP($E61,PEN_STATS!$A$2:$V$10,19,FALSE)))</f>
        <v/>
      </c>
      <c r="X61" s="25">
        <f>IF($Q61="","",IF(VLOOKUP($E61,PEN_STATS!$A$2:$V$10,22,FALSE)=0,0,($Q61-VLOOKUP($E61,PEN_STATS!$A$2:$V$10,21,FALSE))/VLOOKUP($E61,PEN_STATS!$A$2:$V$10,22,FALSE)))</f>
        <v/>
      </c>
      <c r="Y61" s="25">
        <f>IF($A61="","",'WEIGHTS_&amp;_RULES'!$B$12*$R61+'WEIGHTS_&amp;_RULES'!$B$13*$S61+'WEIGHTS_&amp;_RULES'!$B$14*$T61+'WEIGHTS_&amp;_RULES'!$B$15*$U61)</f>
        <v/>
      </c>
      <c r="Z61" s="25">
        <f>IF($A61="","",'WEIGHTS_&amp;_RULES'!$B$19*$V61+'WEIGHTS_&amp;_RULES'!$B$20*$W61)</f>
        <v/>
      </c>
      <c r="AA61" s="25">
        <f>IF($A61="","",'WEIGHTS_&amp;_RULES'!$B$24*$X61)</f>
        <v/>
      </c>
      <c r="AB61" s="25">
        <f>IF($A61="","",'WEIGHTS_&amp;_RULES'!$B$7*$Y61+'WEIGHTS_&amp;_RULES'!$B$8*$Z61+'WEIGHTS_&amp;_RULES'!$B$9*$AA61)</f>
        <v/>
      </c>
    </row>
    <row r="62">
      <c r="A62" s="9">
        <f>ANIMALS!A58</f>
        <v/>
      </c>
      <c r="B62" s="9">
        <f>ANIMALS!B58</f>
        <v/>
      </c>
      <c r="C62" s="9">
        <f>ANIMALS!D58</f>
        <v/>
      </c>
      <c r="D62" s="9">
        <f>ANIMALS!G58</f>
        <v/>
      </c>
      <c r="E62" s="9">
        <f>ANIMALS!H58</f>
        <v/>
      </c>
      <c r="F62" s="9">
        <f>ANIMALS!I58</f>
        <v/>
      </c>
      <c r="G62" s="9">
        <f>ANIMALS!O58</f>
        <v/>
      </c>
      <c r="H62" s="9">
        <f>ANIMALS!P58</f>
        <v/>
      </c>
      <c r="I62" s="9">
        <f>ANIMALS!Q58</f>
        <v/>
      </c>
      <c r="J62" s="9">
        <f>ANIMALS!R58</f>
        <v/>
      </c>
      <c r="K62" s="27">
        <f>IF($A62="","",AVERAGEIFS(PERFORMANCE!$F$2:$F$1000,PERFORMANCE!$C$2:$C$1000,$A62,PERFORMANCE!$E$2:$E$1000,"FAMACHA",PERFORMANCE!$B$2:$B$1000,$B$3))</f>
        <v/>
      </c>
      <c r="L62" s="7">
        <f>IF($A62="","",AVERAGEIFS(PERFORMANCE!$F$2:$F$1000,PERFORMANCE!$C$2:$C$1000,$A62,PERFORMANCE!$E$2:$E$1000,"FEC",PERFORMANCE!$B$2:$B$1000,$B$3))</f>
        <v/>
      </c>
      <c r="M62" s="7">
        <f>IF($A62="","",COUNTIFS(PERFORMANCE!$C$2:$C$1000,$A62,PERFORMANCE!$E$2:$E$1000,"DEWORM",PERFORMANCE!$B$2:$B$1000,$B$3))</f>
        <v/>
      </c>
      <c r="N62" s="29">
        <f>IF($A62="","",AVERAGEIFS(REPRODUCTION!$E$2:$E$1000,REPRODUCTION!$B$2:$B$1000,$A62,REPRODUCTION!$A$2:$A$1000,$B$3))</f>
        <v/>
      </c>
      <c r="O62" s="27">
        <f>IF($A62="","",AVERAGEIFS(PERFORMANCE!$F$2:$F$1000,PERFORMANCE!$C$2:$C$1000,$A62,PERFORMANCE!$E$2:$E$1000,"WEAN_WT",PERFORMANCE!$B$2:$B$1000,$B$3))</f>
        <v/>
      </c>
      <c r="P62" s="25">
        <f>IF($A62="","",AVERAGEIFS(PERFORMANCE!$F$2:$F$1000,PERFORMANCE!$C$2:$C$1000,$A62,PERFORMANCE!$E$2:$E$1000,"ADG",PERFORMANCE!$B$2:$B$1000,$B$3))</f>
        <v/>
      </c>
      <c r="Q62" s="27">
        <f>IF($A62="","",AVERAGEIFS(PERFORMANCE!$F$2:$F$1000,PERFORMANCE!$C$2:$C$1000,$A62,PERFORMANCE!$E$2:$E$1000,"SHEDDING",PERFORMANCE!$B$2:$B$1000,$B$3))</f>
        <v/>
      </c>
      <c r="R62" s="25">
        <f>IF($K62="","",IF(VLOOKUP($E62,PEN_STATS!$A$2:$V$10,4,FALSE)=0,0,-($K62-VLOOKUP($E62,PEN_STATS!$A$2:$V$10,3,FALSE))/VLOOKUP($E62,PEN_STATS!$A$2:$V$10,4,FALSE)))</f>
        <v/>
      </c>
      <c r="S62" s="25">
        <f>IF($L62="","",IF(VLOOKUP($E62,PEN_STATS!$A$2:$V$10,7,FALSE)=0,0,-($L62-VLOOKUP($E62,PEN_STATS!$A$2:$V$10,6,FALSE))/VLOOKUP($E62,PEN_STATS!$A$2:$V$10,7,FALSE)))</f>
        <v/>
      </c>
      <c r="T62" s="25">
        <f>IF($M62="","",IF(VLOOKUP($E62,PEN_STATS!$A$2:$V$10,10,FALSE)=0,0,-($M62-VLOOKUP($E62,PEN_STATS!$A$2:$V$10,9,FALSE))/VLOOKUP($E62,PEN_STATS!$A$2:$V$10,10,FALSE)))</f>
        <v/>
      </c>
      <c r="U62" s="25">
        <f>IF($N62="","",IF(VLOOKUP($E62,PEN_STATS!$A$2:$V$10,13,FALSE)=0,0,($N62-VLOOKUP($E62,PEN_STATS!$A$2:$V$10,12,FALSE))/VLOOKUP($E62,PEN_STATS!$A$2:$V$10,13,FALSE)))</f>
        <v/>
      </c>
      <c r="V62" s="25">
        <f>IF($O62="","",IF(VLOOKUP($E62,PEN_STATS!$A$2:$V$10,16,FALSE)=0,0,($O62-VLOOKUP($E62,PEN_STATS!$A$2:$V$10,15,FALSE))/VLOOKUP($E62,PEN_STATS!$A$2:$V$10,16,FALSE)))</f>
        <v/>
      </c>
      <c r="W62" s="25">
        <f>IF($P62="","",IF(VLOOKUP($E62,PEN_STATS!$A$2:$V$10,19,FALSE)=0,0,($P62-VLOOKUP($E62,PEN_STATS!$A$2:$V$10,18,FALSE))/VLOOKUP($E62,PEN_STATS!$A$2:$V$10,19,FALSE)))</f>
        <v/>
      </c>
      <c r="X62" s="25">
        <f>IF($Q62="","",IF(VLOOKUP($E62,PEN_STATS!$A$2:$V$10,22,FALSE)=0,0,($Q62-VLOOKUP($E62,PEN_STATS!$A$2:$V$10,21,FALSE))/VLOOKUP($E62,PEN_STATS!$A$2:$V$10,22,FALSE)))</f>
        <v/>
      </c>
      <c r="Y62" s="25">
        <f>IF($A62="","",'WEIGHTS_&amp;_RULES'!$B$12*$R62+'WEIGHTS_&amp;_RULES'!$B$13*$S62+'WEIGHTS_&amp;_RULES'!$B$14*$T62+'WEIGHTS_&amp;_RULES'!$B$15*$U62)</f>
        <v/>
      </c>
      <c r="Z62" s="25">
        <f>IF($A62="","",'WEIGHTS_&amp;_RULES'!$B$19*$V62+'WEIGHTS_&amp;_RULES'!$B$20*$W62)</f>
        <v/>
      </c>
      <c r="AA62" s="25">
        <f>IF($A62="","",'WEIGHTS_&amp;_RULES'!$B$24*$X62)</f>
        <v/>
      </c>
      <c r="AB62" s="25">
        <f>IF($A62="","",'WEIGHTS_&amp;_RULES'!$B$7*$Y62+'WEIGHTS_&amp;_RULES'!$B$8*$Z62+'WEIGHTS_&amp;_RULES'!$B$9*$AA62)</f>
        <v/>
      </c>
    </row>
    <row r="63">
      <c r="A63" s="9">
        <f>ANIMALS!A59</f>
        <v/>
      </c>
      <c r="B63" s="9">
        <f>ANIMALS!B59</f>
        <v/>
      </c>
      <c r="C63" s="9">
        <f>ANIMALS!D59</f>
        <v/>
      </c>
      <c r="D63" s="9">
        <f>ANIMALS!G59</f>
        <v/>
      </c>
      <c r="E63" s="9">
        <f>ANIMALS!H59</f>
        <v/>
      </c>
      <c r="F63" s="9">
        <f>ANIMALS!I59</f>
        <v/>
      </c>
      <c r="G63" s="9">
        <f>ANIMALS!O59</f>
        <v/>
      </c>
      <c r="H63" s="9">
        <f>ANIMALS!P59</f>
        <v/>
      </c>
      <c r="I63" s="9">
        <f>ANIMALS!Q59</f>
        <v/>
      </c>
      <c r="J63" s="9">
        <f>ANIMALS!R59</f>
        <v/>
      </c>
      <c r="K63" s="27">
        <f>IF($A63="","",AVERAGEIFS(PERFORMANCE!$F$2:$F$1000,PERFORMANCE!$C$2:$C$1000,$A63,PERFORMANCE!$E$2:$E$1000,"FAMACHA",PERFORMANCE!$B$2:$B$1000,$B$3))</f>
        <v/>
      </c>
      <c r="L63" s="7">
        <f>IF($A63="","",AVERAGEIFS(PERFORMANCE!$F$2:$F$1000,PERFORMANCE!$C$2:$C$1000,$A63,PERFORMANCE!$E$2:$E$1000,"FEC",PERFORMANCE!$B$2:$B$1000,$B$3))</f>
        <v/>
      </c>
      <c r="M63" s="7">
        <f>IF($A63="","",COUNTIFS(PERFORMANCE!$C$2:$C$1000,$A63,PERFORMANCE!$E$2:$E$1000,"DEWORM",PERFORMANCE!$B$2:$B$1000,$B$3))</f>
        <v/>
      </c>
      <c r="N63" s="29">
        <f>IF($A63="","",AVERAGEIFS(REPRODUCTION!$E$2:$E$1000,REPRODUCTION!$B$2:$B$1000,$A63,REPRODUCTION!$A$2:$A$1000,$B$3))</f>
        <v/>
      </c>
      <c r="O63" s="27">
        <f>IF($A63="","",AVERAGEIFS(PERFORMANCE!$F$2:$F$1000,PERFORMANCE!$C$2:$C$1000,$A63,PERFORMANCE!$E$2:$E$1000,"WEAN_WT",PERFORMANCE!$B$2:$B$1000,$B$3))</f>
        <v/>
      </c>
      <c r="P63" s="25">
        <f>IF($A63="","",AVERAGEIFS(PERFORMANCE!$F$2:$F$1000,PERFORMANCE!$C$2:$C$1000,$A63,PERFORMANCE!$E$2:$E$1000,"ADG",PERFORMANCE!$B$2:$B$1000,$B$3))</f>
        <v/>
      </c>
      <c r="Q63" s="27">
        <f>IF($A63="","",AVERAGEIFS(PERFORMANCE!$F$2:$F$1000,PERFORMANCE!$C$2:$C$1000,$A63,PERFORMANCE!$E$2:$E$1000,"SHEDDING",PERFORMANCE!$B$2:$B$1000,$B$3))</f>
        <v/>
      </c>
      <c r="R63" s="25">
        <f>IF($K63="","",IF(VLOOKUP($E63,PEN_STATS!$A$2:$V$10,4,FALSE)=0,0,-($K63-VLOOKUP($E63,PEN_STATS!$A$2:$V$10,3,FALSE))/VLOOKUP($E63,PEN_STATS!$A$2:$V$10,4,FALSE)))</f>
        <v/>
      </c>
      <c r="S63" s="25">
        <f>IF($L63="","",IF(VLOOKUP($E63,PEN_STATS!$A$2:$V$10,7,FALSE)=0,0,-($L63-VLOOKUP($E63,PEN_STATS!$A$2:$V$10,6,FALSE))/VLOOKUP($E63,PEN_STATS!$A$2:$V$10,7,FALSE)))</f>
        <v/>
      </c>
      <c r="T63" s="25">
        <f>IF($M63="","",IF(VLOOKUP($E63,PEN_STATS!$A$2:$V$10,10,FALSE)=0,0,-($M63-VLOOKUP($E63,PEN_STATS!$A$2:$V$10,9,FALSE))/VLOOKUP($E63,PEN_STATS!$A$2:$V$10,10,FALSE)))</f>
        <v/>
      </c>
      <c r="U63" s="25">
        <f>IF($N63="","",IF(VLOOKUP($E63,PEN_STATS!$A$2:$V$10,13,FALSE)=0,0,($N63-VLOOKUP($E63,PEN_STATS!$A$2:$V$10,12,FALSE))/VLOOKUP($E63,PEN_STATS!$A$2:$V$10,13,FALSE)))</f>
        <v/>
      </c>
      <c r="V63" s="25">
        <f>IF($O63="","",IF(VLOOKUP($E63,PEN_STATS!$A$2:$V$10,16,FALSE)=0,0,($O63-VLOOKUP($E63,PEN_STATS!$A$2:$V$10,15,FALSE))/VLOOKUP($E63,PEN_STATS!$A$2:$V$10,16,FALSE)))</f>
        <v/>
      </c>
      <c r="W63" s="25">
        <f>IF($P63="","",IF(VLOOKUP($E63,PEN_STATS!$A$2:$V$10,19,FALSE)=0,0,($P63-VLOOKUP($E63,PEN_STATS!$A$2:$V$10,18,FALSE))/VLOOKUP($E63,PEN_STATS!$A$2:$V$10,19,FALSE)))</f>
        <v/>
      </c>
      <c r="X63" s="25">
        <f>IF($Q63="","",IF(VLOOKUP($E63,PEN_STATS!$A$2:$V$10,22,FALSE)=0,0,($Q63-VLOOKUP($E63,PEN_STATS!$A$2:$V$10,21,FALSE))/VLOOKUP($E63,PEN_STATS!$A$2:$V$10,22,FALSE)))</f>
        <v/>
      </c>
      <c r="Y63" s="25">
        <f>IF($A63="","",'WEIGHTS_&amp;_RULES'!$B$12*$R63+'WEIGHTS_&amp;_RULES'!$B$13*$S63+'WEIGHTS_&amp;_RULES'!$B$14*$T63+'WEIGHTS_&amp;_RULES'!$B$15*$U63)</f>
        <v/>
      </c>
      <c r="Z63" s="25">
        <f>IF($A63="","",'WEIGHTS_&amp;_RULES'!$B$19*$V63+'WEIGHTS_&amp;_RULES'!$B$20*$W63)</f>
        <v/>
      </c>
      <c r="AA63" s="25">
        <f>IF($A63="","",'WEIGHTS_&amp;_RULES'!$B$24*$X63)</f>
        <v/>
      </c>
      <c r="AB63" s="25">
        <f>IF($A63="","",'WEIGHTS_&amp;_RULES'!$B$7*$Y63+'WEIGHTS_&amp;_RULES'!$B$8*$Z63+'WEIGHTS_&amp;_RULES'!$B$9*$AA63)</f>
        <v/>
      </c>
    </row>
    <row r="64">
      <c r="A64" s="9">
        <f>ANIMALS!A60</f>
        <v/>
      </c>
      <c r="B64" s="9">
        <f>ANIMALS!B60</f>
        <v/>
      </c>
      <c r="C64" s="9">
        <f>ANIMALS!D60</f>
        <v/>
      </c>
      <c r="D64" s="9">
        <f>ANIMALS!G60</f>
        <v/>
      </c>
      <c r="E64" s="9">
        <f>ANIMALS!H60</f>
        <v/>
      </c>
      <c r="F64" s="9">
        <f>ANIMALS!I60</f>
        <v/>
      </c>
      <c r="G64" s="9">
        <f>ANIMALS!O60</f>
        <v/>
      </c>
      <c r="H64" s="9">
        <f>ANIMALS!P60</f>
        <v/>
      </c>
      <c r="I64" s="9">
        <f>ANIMALS!Q60</f>
        <v/>
      </c>
      <c r="J64" s="9">
        <f>ANIMALS!R60</f>
        <v/>
      </c>
      <c r="K64" s="27">
        <f>IF($A64="","",AVERAGEIFS(PERFORMANCE!$F$2:$F$1000,PERFORMANCE!$C$2:$C$1000,$A64,PERFORMANCE!$E$2:$E$1000,"FAMACHA",PERFORMANCE!$B$2:$B$1000,$B$3))</f>
        <v/>
      </c>
      <c r="L64" s="7">
        <f>IF($A64="","",AVERAGEIFS(PERFORMANCE!$F$2:$F$1000,PERFORMANCE!$C$2:$C$1000,$A64,PERFORMANCE!$E$2:$E$1000,"FEC",PERFORMANCE!$B$2:$B$1000,$B$3))</f>
        <v/>
      </c>
      <c r="M64" s="7">
        <f>IF($A64="","",COUNTIFS(PERFORMANCE!$C$2:$C$1000,$A64,PERFORMANCE!$E$2:$E$1000,"DEWORM",PERFORMANCE!$B$2:$B$1000,$B$3))</f>
        <v/>
      </c>
      <c r="N64" s="29">
        <f>IF($A64="","",AVERAGEIFS(REPRODUCTION!$E$2:$E$1000,REPRODUCTION!$B$2:$B$1000,$A64,REPRODUCTION!$A$2:$A$1000,$B$3))</f>
        <v/>
      </c>
      <c r="O64" s="27">
        <f>IF($A64="","",AVERAGEIFS(PERFORMANCE!$F$2:$F$1000,PERFORMANCE!$C$2:$C$1000,$A64,PERFORMANCE!$E$2:$E$1000,"WEAN_WT",PERFORMANCE!$B$2:$B$1000,$B$3))</f>
        <v/>
      </c>
      <c r="P64" s="25">
        <f>IF($A64="","",AVERAGEIFS(PERFORMANCE!$F$2:$F$1000,PERFORMANCE!$C$2:$C$1000,$A64,PERFORMANCE!$E$2:$E$1000,"ADG",PERFORMANCE!$B$2:$B$1000,$B$3))</f>
        <v/>
      </c>
      <c r="Q64" s="27">
        <f>IF($A64="","",AVERAGEIFS(PERFORMANCE!$F$2:$F$1000,PERFORMANCE!$C$2:$C$1000,$A64,PERFORMANCE!$E$2:$E$1000,"SHEDDING",PERFORMANCE!$B$2:$B$1000,$B$3))</f>
        <v/>
      </c>
      <c r="R64" s="25">
        <f>IF($K64="","",IF(VLOOKUP($E64,PEN_STATS!$A$2:$V$10,4,FALSE)=0,0,-($K64-VLOOKUP($E64,PEN_STATS!$A$2:$V$10,3,FALSE))/VLOOKUP($E64,PEN_STATS!$A$2:$V$10,4,FALSE)))</f>
        <v/>
      </c>
      <c r="S64" s="25">
        <f>IF($L64="","",IF(VLOOKUP($E64,PEN_STATS!$A$2:$V$10,7,FALSE)=0,0,-($L64-VLOOKUP($E64,PEN_STATS!$A$2:$V$10,6,FALSE))/VLOOKUP($E64,PEN_STATS!$A$2:$V$10,7,FALSE)))</f>
        <v/>
      </c>
      <c r="T64" s="25">
        <f>IF($M64="","",IF(VLOOKUP($E64,PEN_STATS!$A$2:$V$10,10,FALSE)=0,0,-($M64-VLOOKUP($E64,PEN_STATS!$A$2:$V$10,9,FALSE))/VLOOKUP($E64,PEN_STATS!$A$2:$V$10,10,FALSE)))</f>
        <v/>
      </c>
      <c r="U64" s="25">
        <f>IF($N64="","",IF(VLOOKUP($E64,PEN_STATS!$A$2:$V$10,13,FALSE)=0,0,($N64-VLOOKUP($E64,PEN_STATS!$A$2:$V$10,12,FALSE))/VLOOKUP($E64,PEN_STATS!$A$2:$V$10,13,FALSE)))</f>
        <v/>
      </c>
      <c r="V64" s="25">
        <f>IF($O64="","",IF(VLOOKUP($E64,PEN_STATS!$A$2:$V$10,16,FALSE)=0,0,($O64-VLOOKUP($E64,PEN_STATS!$A$2:$V$10,15,FALSE))/VLOOKUP($E64,PEN_STATS!$A$2:$V$10,16,FALSE)))</f>
        <v/>
      </c>
      <c r="W64" s="25">
        <f>IF($P64="","",IF(VLOOKUP($E64,PEN_STATS!$A$2:$V$10,19,FALSE)=0,0,($P64-VLOOKUP($E64,PEN_STATS!$A$2:$V$10,18,FALSE))/VLOOKUP($E64,PEN_STATS!$A$2:$V$10,19,FALSE)))</f>
        <v/>
      </c>
      <c r="X64" s="25">
        <f>IF($Q64="","",IF(VLOOKUP($E64,PEN_STATS!$A$2:$V$10,22,FALSE)=0,0,($Q64-VLOOKUP($E64,PEN_STATS!$A$2:$V$10,21,FALSE))/VLOOKUP($E64,PEN_STATS!$A$2:$V$10,22,FALSE)))</f>
        <v/>
      </c>
      <c r="Y64" s="25">
        <f>IF($A64="","",'WEIGHTS_&amp;_RULES'!$B$12*$R64+'WEIGHTS_&amp;_RULES'!$B$13*$S64+'WEIGHTS_&amp;_RULES'!$B$14*$T64+'WEIGHTS_&amp;_RULES'!$B$15*$U64)</f>
        <v/>
      </c>
      <c r="Z64" s="25">
        <f>IF($A64="","",'WEIGHTS_&amp;_RULES'!$B$19*$V64+'WEIGHTS_&amp;_RULES'!$B$20*$W64)</f>
        <v/>
      </c>
      <c r="AA64" s="25">
        <f>IF($A64="","",'WEIGHTS_&amp;_RULES'!$B$24*$X64)</f>
        <v/>
      </c>
      <c r="AB64" s="25">
        <f>IF($A64="","",'WEIGHTS_&amp;_RULES'!$B$7*$Y64+'WEIGHTS_&amp;_RULES'!$B$8*$Z64+'WEIGHTS_&amp;_RULES'!$B$9*$AA64)</f>
        <v/>
      </c>
    </row>
    <row r="65">
      <c r="A65" s="9">
        <f>ANIMALS!A61</f>
        <v/>
      </c>
      <c r="B65" s="9">
        <f>ANIMALS!B61</f>
        <v/>
      </c>
      <c r="C65" s="9">
        <f>ANIMALS!D61</f>
        <v/>
      </c>
      <c r="D65" s="9">
        <f>ANIMALS!G61</f>
        <v/>
      </c>
      <c r="E65" s="9">
        <f>ANIMALS!H61</f>
        <v/>
      </c>
      <c r="F65" s="9">
        <f>ANIMALS!I61</f>
        <v/>
      </c>
      <c r="G65" s="9">
        <f>ANIMALS!O61</f>
        <v/>
      </c>
      <c r="H65" s="9">
        <f>ANIMALS!P61</f>
        <v/>
      </c>
      <c r="I65" s="9">
        <f>ANIMALS!Q61</f>
        <v/>
      </c>
      <c r="J65" s="9">
        <f>ANIMALS!R61</f>
        <v/>
      </c>
      <c r="K65" s="27">
        <f>IF($A65="","",AVERAGEIFS(PERFORMANCE!$F$2:$F$1000,PERFORMANCE!$C$2:$C$1000,$A65,PERFORMANCE!$E$2:$E$1000,"FAMACHA",PERFORMANCE!$B$2:$B$1000,$B$3))</f>
        <v/>
      </c>
      <c r="L65" s="7">
        <f>IF($A65="","",AVERAGEIFS(PERFORMANCE!$F$2:$F$1000,PERFORMANCE!$C$2:$C$1000,$A65,PERFORMANCE!$E$2:$E$1000,"FEC",PERFORMANCE!$B$2:$B$1000,$B$3))</f>
        <v/>
      </c>
      <c r="M65" s="7">
        <f>IF($A65="","",COUNTIFS(PERFORMANCE!$C$2:$C$1000,$A65,PERFORMANCE!$E$2:$E$1000,"DEWORM",PERFORMANCE!$B$2:$B$1000,$B$3))</f>
        <v/>
      </c>
      <c r="N65" s="29">
        <f>IF($A65="","",AVERAGEIFS(REPRODUCTION!$E$2:$E$1000,REPRODUCTION!$B$2:$B$1000,$A65,REPRODUCTION!$A$2:$A$1000,$B$3))</f>
        <v/>
      </c>
      <c r="O65" s="27">
        <f>IF($A65="","",AVERAGEIFS(PERFORMANCE!$F$2:$F$1000,PERFORMANCE!$C$2:$C$1000,$A65,PERFORMANCE!$E$2:$E$1000,"WEAN_WT",PERFORMANCE!$B$2:$B$1000,$B$3))</f>
        <v/>
      </c>
      <c r="P65" s="25">
        <f>IF($A65="","",AVERAGEIFS(PERFORMANCE!$F$2:$F$1000,PERFORMANCE!$C$2:$C$1000,$A65,PERFORMANCE!$E$2:$E$1000,"ADG",PERFORMANCE!$B$2:$B$1000,$B$3))</f>
        <v/>
      </c>
      <c r="Q65" s="27">
        <f>IF($A65="","",AVERAGEIFS(PERFORMANCE!$F$2:$F$1000,PERFORMANCE!$C$2:$C$1000,$A65,PERFORMANCE!$E$2:$E$1000,"SHEDDING",PERFORMANCE!$B$2:$B$1000,$B$3))</f>
        <v/>
      </c>
      <c r="R65" s="25">
        <f>IF($K65="","",IF(VLOOKUP($E65,PEN_STATS!$A$2:$V$10,4,FALSE)=0,0,-($K65-VLOOKUP($E65,PEN_STATS!$A$2:$V$10,3,FALSE))/VLOOKUP($E65,PEN_STATS!$A$2:$V$10,4,FALSE)))</f>
        <v/>
      </c>
      <c r="S65" s="25">
        <f>IF($L65="","",IF(VLOOKUP($E65,PEN_STATS!$A$2:$V$10,7,FALSE)=0,0,-($L65-VLOOKUP($E65,PEN_STATS!$A$2:$V$10,6,FALSE))/VLOOKUP($E65,PEN_STATS!$A$2:$V$10,7,FALSE)))</f>
        <v/>
      </c>
      <c r="T65" s="25">
        <f>IF($M65="","",IF(VLOOKUP($E65,PEN_STATS!$A$2:$V$10,10,FALSE)=0,0,-($M65-VLOOKUP($E65,PEN_STATS!$A$2:$V$10,9,FALSE))/VLOOKUP($E65,PEN_STATS!$A$2:$V$10,10,FALSE)))</f>
        <v/>
      </c>
      <c r="U65" s="25">
        <f>IF($N65="","",IF(VLOOKUP($E65,PEN_STATS!$A$2:$V$10,13,FALSE)=0,0,($N65-VLOOKUP($E65,PEN_STATS!$A$2:$V$10,12,FALSE))/VLOOKUP($E65,PEN_STATS!$A$2:$V$10,13,FALSE)))</f>
        <v/>
      </c>
      <c r="V65" s="25">
        <f>IF($O65="","",IF(VLOOKUP($E65,PEN_STATS!$A$2:$V$10,16,FALSE)=0,0,($O65-VLOOKUP($E65,PEN_STATS!$A$2:$V$10,15,FALSE))/VLOOKUP($E65,PEN_STATS!$A$2:$V$10,16,FALSE)))</f>
        <v/>
      </c>
      <c r="W65" s="25">
        <f>IF($P65="","",IF(VLOOKUP($E65,PEN_STATS!$A$2:$V$10,19,FALSE)=0,0,($P65-VLOOKUP($E65,PEN_STATS!$A$2:$V$10,18,FALSE))/VLOOKUP($E65,PEN_STATS!$A$2:$V$10,19,FALSE)))</f>
        <v/>
      </c>
      <c r="X65" s="25">
        <f>IF($Q65="","",IF(VLOOKUP($E65,PEN_STATS!$A$2:$V$10,22,FALSE)=0,0,($Q65-VLOOKUP($E65,PEN_STATS!$A$2:$V$10,21,FALSE))/VLOOKUP($E65,PEN_STATS!$A$2:$V$10,22,FALSE)))</f>
        <v/>
      </c>
      <c r="Y65" s="25">
        <f>IF($A65="","",'WEIGHTS_&amp;_RULES'!$B$12*$R65+'WEIGHTS_&amp;_RULES'!$B$13*$S65+'WEIGHTS_&amp;_RULES'!$B$14*$T65+'WEIGHTS_&amp;_RULES'!$B$15*$U65)</f>
        <v/>
      </c>
      <c r="Z65" s="25">
        <f>IF($A65="","",'WEIGHTS_&amp;_RULES'!$B$19*$V65+'WEIGHTS_&amp;_RULES'!$B$20*$W65)</f>
        <v/>
      </c>
      <c r="AA65" s="25">
        <f>IF($A65="","",'WEIGHTS_&amp;_RULES'!$B$24*$X65)</f>
        <v/>
      </c>
      <c r="AB65" s="25">
        <f>IF($A65="","",'WEIGHTS_&amp;_RULES'!$B$7*$Y65+'WEIGHTS_&amp;_RULES'!$B$8*$Z65+'WEIGHTS_&amp;_RULES'!$B$9*$AA65)</f>
        <v/>
      </c>
    </row>
    <row r="66">
      <c r="A66" s="9">
        <f>ANIMALS!A62</f>
        <v/>
      </c>
      <c r="B66" s="9">
        <f>ANIMALS!B62</f>
        <v/>
      </c>
      <c r="C66" s="9">
        <f>ANIMALS!D62</f>
        <v/>
      </c>
      <c r="D66" s="9">
        <f>ANIMALS!G62</f>
        <v/>
      </c>
      <c r="E66" s="9">
        <f>ANIMALS!H62</f>
        <v/>
      </c>
      <c r="F66" s="9">
        <f>ANIMALS!I62</f>
        <v/>
      </c>
      <c r="G66" s="9">
        <f>ANIMALS!O62</f>
        <v/>
      </c>
      <c r="H66" s="9">
        <f>ANIMALS!P62</f>
        <v/>
      </c>
      <c r="I66" s="9">
        <f>ANIMALS!Q62</f>
        <v/>
      </c>
      <c r="J66" s="9">
        <f>ANIMALS!R62</f>
        <v/>
      </c>
      <c r="K66" s="27">
        <f>IF($A65="","",AVERAGEIFS(PERFORMANCE!$F$2:$F$1000,PERFORMANCE!$C$2:$C$1000,$A65,PERFORMANCE!$E$2:$E$1000,"FAMACHA",PERFORMANCE!$B$2:$B$1000,$B$3))</f>
        <v/>
      </c>
      <c r="L66" s="7">
        <f>IF($A65="","",AVERAGEIFS(PERFORMANCE!$F$2:$F$1000,PERFORMANCE!$C$2:$C$1000,$A65,PERFORMANCE!$E$2:$E$1000,"FEC",PERFORMANCE!$B$2:$B$1000,$B$3))</f>
        <v/>
      </c>
      <c r="M66" s="7">
        <f>IF($A65="","",COUNTIFS(PERFORMANCE!$C$2:$C$1000,$A65,PERFORMANCE!$E$2:$E$1000,"DEWORM",PERFORMANCE!$B$2:$B$1000,$B$3))</f>
        <v/>
      </c>
      <c r="N66" s="29">
        <f>IF($A65="","",AVERAGEIFS(REPRODUCTION!$E$2:$E$1000,REPRODUCTION!$B$2:$B$1000,$A65,REPRODUCTION!$A$2:$A$1000,$B$3))</f>
        <v/>
      </c>
      <c r="O66" s="27">
        <f>IF($A65="","",AVERAGEIFS(PERFORMANCE!$F$2:$F$1000,PERFORMANCE!$C$2:$C$1000,$A65,PERFORMANCE!$E$2:$E$1000,"WEAN_WT",PERFORMANCE!$B$2:$B$1000,$B$3))</f>
        <v/>
      </c>
      <c r="P66" s="25">
        <f>IF($A65="","",AVERAGEIFS(PERFORMANCE!$F$2:$F$1000,PERFORMANCE!$C$2:$C$1000,$A65,PERFORMANCE!$E$2:$E$1000,"ADG",PERFORMANCE!$B$2:$B$1000,$B$3))</f>
        <v/>
      </c>
      <c r="Q66" s="27">
        <f>IF($A65="","",AVERAGEIFS(PERFORMANCE!$F$2:$F$1000,PERFORMANCE!$C$2:$C$1000,$A65,PERFORMANCE!$E$2:$E$1000,"SHEDDING",PERFORMANCE!$B$2:$B$1000,$B$3))</f>
        <v/>
      </c>
      <c r="R66" s="25">
        <f>IF($K65="","",IF(VLOOKUP($E65,PEN_STATS!$A$2:$V$10,4,FALSE)=0,0,-($K65-VLOOKUP($E65,PEN_STATS!$A$2:$V$10,3,FALSE))/VLOOKUP($E65,PEN_STATS!$A$2:$V$10,4,FALSE)))</f>
        <v/>
      </c>
      <c r="S66" s="25">
        <f>IF($L65="","",IF(VLOOKUP($E65,PEN_STATS!$A$2:$V$10,7,FALSE)=0,0,-($L65-VLOOKUP($E65,PEN_STATS!$A$2:$V$10,6,FALSE))/VLOOKUP($E65,PEN_STATS!$A$2:$V$10,7,FALSE)))</f>
        <v/>
      </c>
      <c r="T66" s="25">
        <f>IF($M65="","",IF(VLOOKUP($E65,PEN_STATS!$A$2:$V$10,10,FALSE)=0,0,-($M65-VLOOKUP($E65,PEN_STATS!$A$2:$V$10,9,FALSE))/VLOOKUP($E65,PEN_STATS!$A$2:$V$10,10,FALSE)))</f>
        <v/>
      </c>
      <c r="U66" s="25">
        <f>IF($N65="","",IF(VLOOKUP($E65,PEN_STATS!$A$2:$V$10,13,FALSE)=0,0,($N65-VLOOKUP($E65,PEN_STATS!$A$2:$V$10,12,FALSE))/VLOOKUP($E65,PEN_STATS!$A$2:$V$10,13,FALSE)))</f>
        <v/>
      </c>
      <c r="V66" s="25">
        <f>IF($O65="","",IF(VLOOKUP($E65,PEN_STATS!$A$2:$V$10,16,FALSE)=0,0,($O65-VLOOKUP($E65,PEN_STATS!$A$2:$V$10,15,FALSE))/VLOOKUP($E65,PEN_STATS!$A$2:$V$10,16,FALSE)))</f>
        <v/>
      </c>
      <c r="W66" s="25">
        <f>IF($P65="","",IF(VLOOKUP($E65,PEN_STATS!$A$2:$V$10,19,FALSE)=0,0,($P65-VLOOKUP($E65,PEN_STATS!$A$2:$V$10,18,FALSE))/VLOOKUP($E65,PEN_STATS!$A$2:$V$10,19,FALSE)))</f>
        <v/>
      </c>
      <c r="X66" s="25">
        <f>IF($Q65="","",IF(VLOOKUP($E65,PEN_STATS!$A$2:$V$10,22,FALSE)=0,0,($Q65-VLOOKUP($E65,PEN_STATS!$A$2:$V$10,21,FALSE))/VLOOKUP($E65,PEN_STATS!$A$2:$V$10,22,FALSE)))</f>
        <v/>
      </c>
      <c r="Y66" s="25">
        <f>IF($A65="","",'WEIGHTS_&amp;_RULES'!$B$12*$R65+'WEIGHTS_&amp;_RULES'!$B$13*$S65+'WEIGHTS_&amp;_RULES'!$B$14*$T65+'WEIGHTS_&amp;_RULES'!$B$15*$U65)</f>
        <v/>
      </c>
      <c r="Z66" s="25">
        <f>IF($A65="","",'WEIGHTS_&amp;_RULES'!$B$19*$V65+'WEIGHTS_&amp;_RULES'!$B$20*$W65)</f>
        <v/>
      </c>
      <c r="AA66" s="25">
        <f>IF($A65="","",'WEIGHTS_&amp;_RULES'!$B$24*$X65)</f>
        <v/>
      </c>
      <c r="AB66" s="25">
        <f>IF($A65="","",'WEIGHTS_&amp;_RULES'!$B$7*$Y65+'WEIGHTS_&amp;_RULES'!$B$8*$Z65+'WEIGHTS_&amp;_RULES'!$B$9*$AA65)</f>
        <v/>
      </c>
    </row>
    <row r="67">
      <c r="A67" s="9">
        <f>ANIMALS!A63</f>
        <v/>
      </c>
      <c r="B67" s="9">
        <f>ANIMALS!B63</f>
        <v/>
      </c>
      <c r="C67" s="9">
        <f>ANIMALS!D63</f>
        <v/>
      </c>
      <c r="D67" s="9">
        <f>ANIMALS!G63</f>
        <v/>
      </c>
      <c r="E67" s="9">
        <f>ANIMALS!H63</f>
        <v/>
      </c>
      <c r="F67" s="9">
        <f>ANIMALS!I63</f>
        <v/>
      </c>
      <c r="G67" s="9">
        <f>ANIMALS!O63</f>
        <v/>
      </c>
      <c r="H67" s="9">
        <f>ANIMALS!P63</f>
        <v/>
      </c>
      <c r="I67" s="9">
        <f>ANIMALS!Q63</f>
        <v/>
      </c>
      <c r="J67" s="9">
        <f>ANIMALS!R63</f>
        <v/>
      </c>
      <c r="K67" s="27">
        <f>IF($A65="","",AVERAGEIFS(PERFORMANCE!$F$2:$F$1000,PERFORMANCE!$C$2:$C$1000,$A65,PERFORMANCE!$E$2:$E$1000,"FAMACHA",PERFORMANCE!$B$2:$B$1000,$B$3))</f>
        <v/>
      </c>
      <c r="L67" s="7">
        <f>IF($A65="","",AVERAGEIFS(PERFORMANCE!$F$2:$F$1000,PERFORMANCE!$C$2:$C$1000,$A65,PERFORMANCE!$E$2:$E$1000,"FEC",PERFORMANCE!$B$2:$B$1000,$B$3))</f>
        <v/>
      </c>
      <c r="M67" s="7">
        <f>IF($A65="","",COUNTIFS(PERFORMANCE!$C$2:$C$1000,$A65,PERFORMANCE!$E$2:$E$1000,"DEWORM",PERFORMANCE!$B$2:$B$1000,$B$3))</f>
        <v/>
      </c>
      <c r="N67" s="29">
        <f>IF($A65="","",AVERAGEIFS(REPRODUCTION!$E$2:$E$1000,REPRODUCTION!$B$2:$B$1000,$A65,REPRODUCTION!$A$2:$A$1000,$B$3))</f>
        <v/>
      </c>
      <c r="O67" s="27">
        <f>IF($A65="","",AVERAGEIFS(PERFORMANCE!$F$2:$F$1000,PERFORMANCE!$C$2:$C$1000,$A65,PERFORMANCE!$E$2:$E$1000,"WEAN_WT",PERFORMANCE!$B$2:$B$1000,$B$3))</f>
        <v/>
      </c>
      <c r="P67" s="25">
        <f>IF($A65="","",AVERAGEIFS(PERFORMANCE!$F$2:$F$1000,PERFORMANCE!$C$2:$C$1000,$A65,PERFORMANCE!$E$2:$E$1000,"ADG",PERFORMANCE!$B$2:$B$1000,$B$3))</f>
        <v/>
      </c>
      <c r="Q67" s="27">
        <f>IF($A65="","",AVERAGEIFS(PERFORMANCE!$F$2:$F$1000,PERFORMANCE!$C$2:$C$1000,$A65,PERFORMANCE!$E$2:$E$1000,"SHEDDING",PERFORMANCE!$B$2:$B$1000,$B$3))</f>
        <v/>
      </c>
      <c r="R67" s="25">
        <f>IF($K65="","",IF(VLOOKUP($E65,PEN_STATS!$A$2:$V$10,4,FALSE)=0,0,-($K65-VLOOKUP($E65,PEN_STATS!$A$2:$V$10,3,FALSE))/VLOOKUP($E65,PEN_STATS!$A$2:$V$10,4,FALSE)))</f>
        <v/>
      </c>
      <c r="S67" s="25">
        <f>IF($L65="","",IF(VLOOKUP($E65,PEN_STATS!$A$2:$V$10,7,FALSE)=0,0,-($L65-VLOOKUP($E65,PEN_STATS!$A$2:$V$10,6,FALSE))/VLOOKUP($E65,PEN_STATS!$A$2:$V$10,7,FALSE)))</f>
        <v/>
      </c>
      <c r="T67" s="25">
        <f>IF($M65="","",IF(VLOOKUP($E65,PEN_STATS!$A$2:$V$10,10,FALSE)=0,0,-($M65-VLOOKUP($E65,PEN_STATS!$A$2:$V$10,9,FALSE))/VLOOKUP($E65,PEN_STATS!$A$2:$V$10,10,FALSE)))</f>
        <v/>
      </c>
      <c r="U67" s="25">
        <f>IF($N65="","",IF(VLOOKUP($E65,PEN_STATS!$A$2:$V$10,13,FALSE)=0,0,($N65-VLOOKUP($E65,PEN_STATS!$A$2:$V$10,12,FALSE))/VLOOKUP($E65,PEN_STATS!$A$2:$V$10,13,FALSE)))</f>
        <v/>
      </c>
      <c r="V67" s="25">
        <f>IF($O65="","",IF(VLOOKUP($E65,PEN_STATS!$A$2:$V$10,16,FALSE)=0,0,($O65-VLOOKUP($E65,PEN_STATS!$A$2:$V$10,15,FALSE))/VLOOKUP($E65,PEN_STATS!$A$2:$V$10,16,FALSE)))</f>
        <v/>
      </c>
      <c r="W67" s="25">
        <f>IF($P65="","",IF(VLOOKUP($E65,PEN_STATS!$A$2:$V$10,19,FALSE)=0,0,($P65-VLOOKUP($E65,PEN_STATS!$A$2:$V$10,18,FALSE))/VLOOKUP($E65,PEN_STATS!$A$2:$V$10,19,FALSE)))</f>
        <v/>
      </c>
      <c r="X67" s="25">
        <f>IF($Q65="","",IF(VLOOKUP($E65,PEN_STATS!$A$2:$V$10,22,FALSE)=0,0,($Q65-VLOOKUP($E65,PEN_STATS!$A$2:$V$10,21,FALSE))/VLOOKUP($E65,PEN_STATS!$A$2:$V$10,22,FALSE)))</f>
        <v/>
      </c>
      <c r="Y67" s="25">
        <f>IF($A65="","",'WEIGHTS_&amp;_RULES'!$B$12*$R65+'WEIGHTS_&amp;_RULES'!$B$13*$S65+'WEIGHTS_&amp;_RULES'!$B$14*$T65+'WEIGHTS_&amp;_RULES'!$B$15*$U65)</f>
        <v/>
      </c>
      <c r="Z67" s="25">
        <f>IF($A65="","",'WEIGHTS_&amp;_RULES'!$B$19*$V65+'WEIGHTS_&amp;_RULES'!$B$20*$W65)</f>
        <v/>
      </c>
      <c r="AA67" s="25">
        <f>IF($A65="","",'WEIGHTS_&amp;_RULES'!$B$24*$X65)</f>
        <v/>
      </c>
      <c r="AB67" s="25">
        <f>IF($A65="","",'WEIGHTS_&amp;_RULES'!$B$7*$Y65+'WEIGHTS_&amp;_RULES'!$B$8*$Z65+'WEIGHTS_&amp;_RULES'!$B$9*$AA65)</f>
        <v/>
      </c>
    </row>
    <row r="68">
      <c r="A68" s="9">
        <f>ANIMALS!A64</f>
        <v/>
      </c>
      <c r="B68" s="9">
        <f>ANIMALS!B64</f>
        <v/>
      </c>
      <c r="C68" s="9">
        <f>ANIMALS!D64</f>
        <v/>
      </c>
      <c r="D68" s="9">
        <f>ANIMALS!G64</f>
        <v/>
      </c>
      <c r="E68" s="9">
        <f>ANIMALS!H64</f>
        <v/>
      </c>
      <c r="F68" s="9">
        <f>ANIMALS!I64</f>
        <v/>
      </c>
      <c r="G68" s="9">
        <f>ANIMALS!O64</f>
        <v/>
      </c>
      <c r="H68" s="9">
        <f>ANIMALS!P64</f>
        <v/>
      </c>
      <c r="I68" s="9">
        <f>ANIMALS!Q64</f>
        <v/>
      </c>
      <c r="J68" s="9">
        <f>ANIMALS!R64</f>
        <v/>
      </c>
      <c r="K68" s="27">
        <f>IF($A65="","",AVERAGEIFS(PERFORMANCE!$F$2:$F$1000,PERFORMANCE!$C$2:$C$1000,$A65,PERFORMANCE!$E$2:$E$1000,"FAMACHA",PERFORMANCE!$B$2:$B$1000,$B$3))</f>
        <v/>
      </c>
      <c r="L68" s="7">
        <f>IF($A65="","",AVERAGEIFS(PERFORMANCE!$F$2:$F$1000,PERFORMANCE!$C$2:$C$1000,$A65,PERFORMANCE!$E$2:$E$1000,"FEC",PERFORMANCE!$B$2:$B$1000,$B$3))</f>
        <v/>
      </c>
      <c r="M68" s="7">
        <f>IF($A65="","",COUNTIFS(PERFORMANCE!$C$2:$C$1000,$A65,PERFORMANCE!$E$2:$E$1000,"DEWORM",PERFORMANCE!$B$2:$B$1000,$B$3))</f>
        <v/>
      </c>
      <c r="N68" s="29">
        <f>IF($A65="","",AVERAGEIFS(REPRODUCTION!$E$2:$E$1000,REPRODUCTION!$B$2:$B$1000,$A65,REPRODUCTION!$A$2:$A$1000,$B$3))</f>
        <v/>
      </c>
      <c r="O68" s="27">
        <f>IF($A65="","",AVERAGEIFS(PERFORMANCE!$F$2:$F$1000,PERFORMANCE!$C$2:$C$1000,$A65,PERFORMANCE!$E$2:$E$1000,"WEAN_WT",PERFORMANCE!$B$2:$B$1000,$B$3))</f>
        <v/>
      </c>
      <c r="P68" s="25">
        <f>IF($A65="","",AVERAGEIFS(PERFORMANCE!$F$2:$F$1000,PERFORMANCE!$C$2:$C$1000,$A65,PERFORMANCE!$E$2:$E$1000,"ADG",PERFORMANCE!$B$2:$B$1000,$B$3))</f>
        <v/>
      </c>
      <c r="Q68" s="27">
        <f>IF($A65="","",AVERAGEIFS(PERFORMANCE!$F$2:$F$1000,PERFORMANCE!$C$2:$C$1000,$A65,PERFORMANCE!$E$2:$E$1000,"SHEDDING",PERFORMANCE!$B$2:$B$1000,$B$3))</f>
        <v/>
      </c>
      <c r="R68" s="25">
        <f>IF($K65="","",IF(VLOOKUP($E65,PEN_STATS!$A$2:$V$10,4,FALSE)=0,0,-($K65-VLOOKUP($E65,PEN_STATS!$A$2:$V$10,3,FALSE))/VLOOKUP($E65,PEN_STATS!$A$2:$V$10,4,FALSE)))</f>
        <v/>
      </c>
      <c r="S68" s="25">
        <f>IF($L65="","",IF(VLOOKUP($E65,PEN_STATS!$A$2:$V$10,7,FALSE)=0,0,-($L65-VLOOKUP($E65,PEN_STATS!$A$2:$V$10,6,FALSE))/VLOOKUP($E65,PEN_STATS!$A$2:$V$10,7,FALSE)))</f>
        <v/>
      </c>
      <c r="T68" s="25">
        <f>IF($M65="","",IF(VLOOKUP($E65,PEN_STATS!$A$2:$V$10,10,FALSE)=0,0,-($M65-VLOOKUP($E65,PEN_STATS!$A$2:$V$10,9,FALSE))/VLOOKUP($E65,PEN_STATS!$A$2:$V$10,10,FALSE)))</f>
        <v/>
      </c>
      <c r="U68" s="25">
        <f>IF($N65="","",IF(VLOOKUP($E65,PEN_STATS!$A$2:$V$10,13,FALSE)=0,0,($N65-VLOOKUP($E65,PEN_STATS!$A$2:$V$10,12,FALSE))/VLOOKUP($E65,PEN_STATS!$A$2:$V$10,13,FALSE)))</f>
        <v/>
      </c>
      <c r="V68" s="25">
        <f>IF($O65="","",IF(VLOOKUP($E65,PEN_STATS!$A$2:$V$10,16,FALSE)=0,0,($O65-VLOOKUP($E65,PEN_STATS!$A$2:$V$10,15,FALSE))/VLOOKUP($E65,PEN_STATS!$A$2:$V$10,16,FALSE)))</f>
        <v/>
      </c>
      <c r="W68" s="25">
        <f>IF($P65="","",IF(VLOOKUP($E65,PEN_STATS!$A$2:$V$10,19,FALSE)=0,0,($P65-VLOOKUP($E65,PEN_STATS!$A$2:$V$10,18,FALSE))/VLOOKUP($E65,PEN_STATS!$A$2:$V$10,19,FALSE)))</f>
        <v/>
      </c>
      <c r="X68" s="25">
        <f>IF($Q65="","",IF(VLOOKUP($E65,PEN_STATS!$A$2:$V$10,22,FALSE)=0,0,($Q65-VLOOKUP($E65,PEN_STATS!$A$2:$V$10,21,FALSE))/VLOOKUP($E65,PEN_STATS!$A$2:$V$10,22,FALSE)))</f>
        <v/>
      </c>
      <c r="Y68" s="25">
        <f>IF($A65="","",'WEIGHTS_&amp;_RULES'!$B$12*$R65+'WEIGHTS_&amp;_RULES'!$B$13*$S65+'WEIGHTS_&amp;_RULES'!$B$14*$T65+'WEIGHTS_&amp;_RULES'!$B$15*$U65)</f>
        <v/>
      </c>
      <c r="Z68" s="25">
        <f>IF($A65="","",'WEIGHTS_&amp;_RULES'!$B$19*$V65+'WEIGHTS_&amp;_RULES'!$B$20*$W65)</f>
        <v/>
      </c>
      <c r="AA68" s="25">
        <f>IF($A65="","",'WEIGHTS_&amp;_RULES'!$B$24*$X65)</f>
        <v/>
      </c>
      <c r="AB68" s="25">
        <f>IF($A65="","",'WEIGHTS_&amp;_RULES'!$B$7*$Y65+'WEIGHTS_&amp;_RULES'!$B$8*$Z65+'WEIGHTS_&amp;_RULES'!$B$9*$AA65)</f>
        <v/>
      </c>
    </row>
    <row r="69">
      <c r="A69" s="9">
        <f>ANIMALS!A65</f>
        <v/>
      </c>
      <c r="B69" s="9">
        <f>ANIMALS!B65</f>
        <v/>
      </c>
      <c r="C69" s="9">
        <f>ANIMALS!D65</f>
        <v/>
      </c>
      <c r="D69" s="9">
        <f>ANIMALS!G65</f>
        <v/>
      </c>
      <c r="E69" s="9">
        <f>ANIMALS!H65</f>
        <v/>
      </c>
      <c r="F69" s="9">
        <f>ANIMALS!I65</f>
        <v/>
      </c>
      <c r="G69" s="9">
        <f>ANIMALS!O65</f>
        <v/>
      </c>
      <c r="H69" s="9">
        <f>ANIMALS!P65</f>
        <v/>
      </c>
      <c r="I69" s="9">
        <f>ANIMALS!Q65</f>
        <v/>
      </c>
      <c r="J69" s="9">
        <f>ANIMALS!R65</f>
        <v/>
      </c>
      <c r="K69" s="27">
        <f>IF($A65="","",AVERAGEIFS(PERFORMANCE!$F$2:$F$1000,PERFORMANCE!$C$2:$C$1000,$A65,PERFORMANCE!$E$2:$E$1000,"FAMACHA",PERFORMANCE!$B$2:$B$1000,$B$3))</f>
        <v/>
      </c>
      <c r="L69" s="7">
        <f>IF($A65="","",AVERAGEIFS(PERFORMANCE!$F$2:$F$1000,PERFORMANCE!$C$2:$C$1000,$A65,PERFORMANCE!$E$2:$E$1000,"FEC",PERFORMANCE!$B$2:$B$1000,$B$3))</f>
        <v/>
      </c>
      <c r="M69" s="7">
        <f>IF($A65="","",COUNTIFS(PERFORMANCE!$C$2:$C$1000,$A65,PERFORMANCE!$E$2:$E$1000,"DEWORM",PERFORMANCE!$B$2:$B$1000,$B$3))</f>
        <v/>
      </c>
      <c r="N69" s="29">
        <f>IF($A65="","",AVERAGEIFS(REPRODUCTION!$E$2:$E$1000,REPRODUCTION!$B$2:$B$1000,$A65,REPRODUCTION!$A$2:$A$1000,$B$3))</f>
        <v/>
      </c>
      <c r="O69" s="27">
        <f>IF($A65="","",AVERAGEIFS(PERFORMANCE!$F$2:$F$1000,PERFORMANCE!$C$2:$C$1000,$A65,PERFORMANCE!$E$2:$E$1000,"WEAN_WT",PERFORMANCE!$B$2:$B$1000,$B$3))</f>
        <v/>
      </c>
      <c r="P69" s="25">
        <f>IF($A65="","",AVERAGEIFS(PERFORMANCE!$F$2:$F$1000,PERFORMANCE!$C$2:$C$1000,$A65,PERFORMANCE!$E$2:$E$1000,"ADG",PERFORMANCE!$B$2:$B$1000,$B$3))</f>
        <v/>
      </c>
      <c r="Q69" s="27">
        <f>IF($A65="","",AVERAGEIFS(PERFORMANCE!$F$2:$F$1000,PERFORMANCE!$C$2:$C$1000,$A65,PERFORMANCE!$E$2:$E$1000,"SHEDDING",PERFORMANCE!$B$2:$B$1000,$B$3))</f>
        <v/>
      </c>
      <c r="R69" s="25">
        <f>IF($K65="","",IF(VLOOKUP($E65,PEN_STATS!$A$2:$V$10,4,FALSE)=0,0,-($K65-VLOOKUP($E65,PEN_STATS!$A$2:$V$10,3,FALSE))/VLOOKUP($E65,PEN_STATS!$A$2:$V$10,4,FALSE)))</f>
        <v/>
      </c>
      <c r="S69" s="25">
        <f>IF($L65="","",IF(VLOOKUP($E65,PEN_STATS!$A$2:$V$10,7,FALSE)=0,0,-($L65-VLOOKUP($E65,PEN_STATS!$A$2:$V$10,6,FALSE))/VLOOKUP($E65,PEN_STATS!$A$2:$V$10,7,FALSE)))</f>
        <v/>
      </c>
      <c r="T69" s="25">
        <f>IF($M65="","",IF(VLOOKUP($E65,PEN_STATS!$A$2:$V$10,10,FALSE)=0,0,-($M65-VLOOKUP($E65,PEN_STATS!$A$2:$V$10,9,FALSE))/VLOOKUP($E65,PEN_STATS!$A$2:$V$10,10,FALSE)))</f>
        <v/>
      </c>
      <c r="U69" s="25">
        <f>IF($N65="","",IF(VLOOKUP($E65,PEN_STATS!$A$2:$V$10,13,FALSE)=0,0,($N65-VLOOKUP($E65,PEN_STATS!$A$2:$V$10,12,FALSE))/VLOOKUP($E65,PEN_STATS!$A$2:$V$10,13,FALSE)))</f>
        <v/>
      </c>
      <c r="V69" s="25">
        <f>IF($O65="","",IF(VLOOKUP($E65,PEN_STATS!$A$2:$V$10,16,FALSE)=0,0,($O65-VLOOKUP($E65,PEN_STATS!$A$2:$V$10,15,FALSE))/VLOOKUP($E65,PEN_STATS!$A$2:$V$10,16,FALSE)))</f>
        <v/>
      </c>
      <c r="W69" s="25">
        <f>IF($P65="","",IF(VLOOKUP($E65,PEN_STATS!$A$2:$V$10,19,FALSE)=0,0,($P65-VLOOKUP($E65,PEN_STATS!$A$2:$V$10,18,FALSE))/VLOOKUP($E65,PEN_STATS!$A$2:$V$10,19,FALSE)))</f>
        <v/>
      </c>
      <c r="X69" s="25">
        <f>IF($Q65="","",IF(VLOOKUP($E65,PEN_STATS!$A$2:$V$10,22,FALSE)=0,0,($Q65-VLOOKUP($E65,PEN_STATS!$A$2:$V$10,21,FALSE))/VLOOKUP($E65,PEN_STATS!$A$2:$V$10,22,FALSE)))</f>
        <v/>
      </c>
      <c r="Y69" s="25">
        <f>IF($A65="","",'WEIGHTS_&amp;_RULES'!$B$12*$R65+'WEIGHTS_&amp;_RULES'!$B$13*$S65+'WEIGHTS_&amp;_RULES'!$B$14*$T65+'WEIGHTS_&amp;_RULES'!$B$15*$U65)</f>
        <v/>
      </c>
      <c r="Z69" s="25">
        <f>IF($A65="","",'WEIGHTS_&amp;_RULES'!$B$19*$V65+'WEIGHTS_&amp;_RULES'!$B$20*$W65)</f>
        <v/>
      </c>
      <c r="AA69" s="25">
        <f>IF($A65="","",'WEIGHTS_&amp;_RULES'!$B$24*$X65)</f>
        <v/>
      </c>
      <c r="AB69" s="25">
        <f>IF($A65="","",'WEIGHTS_&amp;_RULES'!$B$7*$Y65+'WEIGHTS_&amp;_RULES'!$B$8*$Z65+'WEIGHTS_&amp;_RULES'!$B$9*$AA65)</f>
        <v/>
      </c>
    </row>
    <row r="70">
      <c r="A70" s="9">
        <f>ANIMALS!A66</f>
        <v/>
      </c>
      <c r="B70" s="9">
        <f>ANIMALS!B66</f>
        <v/>
      </c>
      <c r="C70" s="9">
        <f>ANIMALS!D66</f>
        <v/>
      </c>
      <c r="D70" s="9">
        <f>ANIMALS!G66</f>
        <v/>
      </c>
      <c r="E70" s="9">
        <f>ANIMALS!H66</f>
        <v/>
      </c>
      <c r="F70" s="9">
        <f>ANIMALS!I66</f>
        <v/>
      </c>
      <c r="G70" s="9">
        <f>ANIMALS!O66</f>
        <v/>
      </c>
      <c r="H70" s="9">
        <f>ANIMALS!P66</f>
        <v/>
      </c>
      <c r="I70" s="9">
        <f>ANIMALS!Q66</f>
        <v/>
      </c>
      <c r="J70" s="9">
        <f>ANIMALS!R66</f>
        <v/>
      </c>
      <c r="K70" s="27">
        <f>IF($A65="","",AVERAGEIFS(PERFORMANCE!$F$2:$F$1000,PERFORMANCE!$C$2:$C$1000,$A65,PERFORMANCE!$E$2:$E$1000,"FAMACHA",PERFORMANCE!$B$2:$B$1000,$B$3))</f>
        <v/>
      </c>
      <c r="L70" s="7">
        <f>IF($A65="","",AVERAGEIFS(PERFORMANCE!$F$2:$F$1000,PERFORMANCE!$C$2:$C$1000,$A65,PERFORMANCE!$E$2:$E$1000,"FEC",PERFORMANCE!$B$2:$B$1000,$B$3))</f>
        <v/>
      </c>
      <c r="M70" s="7">
        <f>IF($A65="","",COUNTIFS(PERFORMANCE!$C$2:$C$1000,$A65,PERFORMANCE!$E$2:$E$1000,"DEWORM",PERFORMANCE!$B$2:$B$1000,$B$3))</f>
        <v/>
      </c>
      <c r="N70" s="29">
        <f>IF($A65="","",AVERAGEIFS(REPRODUCTION!$E$2:$E$1000,REPRODUCTION!$B$2:$B$1000,$A65,REPRODUCTION!$A$2:$A$1000,$B$3))</f>
        <v/>
      </c>
      <c r="O70" s="27">
        <f>IF($A65="","",AVERAGEIFS(PERFORMANCE!$F$2:$F$1000,PERFORMANCE!$C$2:$C$1000,$A65,PERFORMANCE!$E$2:$E$1000,"WEAN_WT",PERFORMANCE!$B$2:$B$1000,$B$3))</f>
        <v/>
      </c>
      <c r="P70" s="25">
        <f>IF($A65="","",AVERAGEIFS(PERFORMANCE!$F$2:$F$1000,PERFORMANCE!$C$2:$C$1000,$A65,PERFORMANCE!$E$2:$E$1000,"ADG",PERFORMANCE!$B$2:$B$1000,$B$3))</f>
        <v/>
      </c>
      <c r="Q70" s="27">
        <f>IF($A65="","",AVERAGEIFS(PERFORMANCE!$F$2:$F$1000,PERFORMANCE!$C$2:$C$1000,$A65,PERFORMANCE!$E$2:$E$1000,"SHEDDING",PERFORMANCE!$B$2:$B$1000,$B$3))</f>
        <v/>
      </c>
      <c r="R70" s="25">
        <f>IF($K65="","",IF(VLOOKUP($E65,PEN_STATS!$A$2:$V$10,4,FALSE)=0,0,-($K65-VLOOKUP($E65,PEN_STATS!$A$2:$V$10,3,FALSE))/VLOOKUP($E65,PEN_STATS!$A$2:$V$10,4,FALSE)))</f>
        <v/>
      </c>
      <c r="S70" s="25">
        <f>IF($L65="","",IF(VLOOKUP($E65,PEN_STATS!$A$2:$V$10,7,FALSE)=0,0,-($L65-VLOOKUP($E65,PEN_STATS!$A$2:$V$10,6,FALSE))/VLOOKUP($E65,PEN_STATS!$A$2:$V$10,7,FALSE)))</f>
        <v/>
      </c>
      <c r="T70" s="25">
        <f>IF($M65="","",IF(VLOOKUP($E65,PEN_STATS!$A$2:$V$10,10,FALSE)=0,0,-($M65-VLOOKUP($E65,PEN_STATS!$A$2:$V$10,9,FALSE))/VLOOKUP($E65,PEN_STATS!$A$2:$V$10,10,FALSE)))</f>
        <v/>
      </c>
      <c r="U70" s="25">
        <f>IF($N65="","",IF(VLOOKUP($E65,PEN_STATS!$A$2:$V$10,13,FALSE)=0,0,($N65-VLOOKUP($E65,PEN_STATS!$A$2:$V$10,12,FALSE))/VLOOKUP($E65,PEN_STATS!$A$2:$V$10,13,FALSE)))</f>
        <v/>
      </c>
      <c r="V70" s="25">
        <f>IF($O65="","",IF(VLOOKUP($E65,PEN_STATS!$A$2:$V$10,16,FALSE)=0,0,($O65-VLOOKUP($E65,PEN_STATS!$A$2:$V$10,15,FALSE))/VLOOKUP($E65,PEN_STATS!$A$2:$V$10,16,FALSE)))</f>
        <v/>
      </c>
      <c r="W70" s="25">
        <f>IF($P65="","",IF(VLOOKUP($E65,PEN_STATS!$A$2:$V$10,19,FALSE)=0,0,($P65-VLOOKUP($E65,PEN_STATS!$A$2:$V$10,18,FALSE))/VLOOKUP($E65,PEN_STATS!$A$2:$V$10,19,FALSE)))</f>
        <v/>
      </c>
      <c r="X70" s="25">
        <f>IF($Q65="","",IF(VLOOKUP($E65,PEN_STATS!$A$2:$V$10,22,FALSE)=0,0,($Q65-VLOOKUP($E65,PEN_STATS!$A$2:$V$10,21,FALSE))/VLOOKUP($E65,PEN_STATS!$A$2:$V$10,22,FALSE)))</f>
        <v/>
      </c>
      <c r="Y70" s="25">
        <f>IF($A65="","",'WEIGHTS_&amp;_RULES'!$B$12*$R65+'WEIGHTS_&amp;_RULES'!$B$13*$S65+'WEIGHTS_&amp;_RULES'!$B$14*$T65+'WEIGHTS_&amp;_RULES'!$B$15*$U65)</f>
        <v/>
      </c>
      <c r="Z70" s="25">
        <f>IF($A65="","",'WEIGHTS_&amp;_RULES'!$B$19*$V65+'WEIGHTS_&amp;_RULES'!$B$20*$W65)</f>
        <v/>
      </c>
      <c r="AA70" s="25">
        <f>IF($A65="","",'WEIGHTS_&amp;_RULES'!$B$24*$X65)</f>
        <v/>
      </c>
      <c r="AB70" s="25">
        <f>IF($A65="","",'WEIGHTS_&amp;_RULES'!$B$7*$Y65+'WEIGHTS_&amp;_RULES'!$B$8*$Z65+'WEIGHTS_&amp;_RULES'!$B$9*$AA65)</f>
        <v/>
      </c>
    </row>
    <row r="71">
      <c r="A71" s="9">
        <f>ANIMALS!A67</f>
        <v/>
      </c>
      <c r="B71" s="9">
        <f>ANIMALS!B67</f>
        <v/>
      </c>
      <c r="C71" s="9">
        <f>ANIMALS!D67</f>
        <v/>
      </c>
      <c r="D71" s="9">
        <f>ANIMALS!G67</f>
        <v/>
      </c>
      <c r="E71" s="9">
        <f>ANIMALS!H67</f>
        <v/>
      </c>
      <c r="F71" s="9">
        <f>ANIMALS!I67</f>
        <v/>
      </c>
      <c r="G71" s="9">
        <f>ANIMALS!O67</f>
        <v/>
      </c>
      <c r="H71" s="9">
        <f>ANIMALS!P67</f>
        <v/>
      </c>
      <c r="I71" s="9">
        <f>ANIMALS!Q67</f>
        <v/>
      </c>
      <c r="J71" s="9">
        <f>ANIMALS!R67</f>
        <v/>
      </c>
      <c r="K71" s="27">
        <f>IF($A65="","",AVERAGEIFS(PERFORMANCE!$F$2:$F$1000,PERFORMANCE!$C$2:$C$1000,$A65,PERFORMANCE!$E$2:$E$1000,"FAMACHA",PERFORMANCE!$B$2:$B$1000,$B$3))</f>
        <v/>
      </c>
      <c r="L71" s="7">
        <f>IF($A65="","",AVERAGEIFS(PERFORMANCE!$F$2:$F$1000,PERFORMANCE!$C$2:$C$1000,$A65,PERFORMANCE!$E$2:$E$1000,"FEC",PERFORMANCE!$B$2:$B$1000,$B$3))</f>
        <v/>
      </c>
      <c r="M71" s="7">
        <f>IF($A65="","",COUNTIFS(PERFORMANCE!$C$2:$C$1000,$A65,PERFORMANCE!$E$2:$E$1000,"DEWORM",PERFORMANCE!$B$2:$B$1000,$B$3))</f>
        <v/>
      </c>
      <c r="N71" s="29">
        <f>IF($A65="","",AVERAGEIFS(REPRODUCTION!$E$2:$E$1000,REPRODUCTION!$B$2:$B$1000,$A65,REPRODUCTION!$A$2:$A$1000,$B$3))</f>
        <v/>
      </c>
      <c r="O71" s="27">
        <f>IF($A65="","",AVERAGEIFS(PERFORMANCE!$F$2:$F$1000,PERFORMANCE!$C$2:$C$1000,$A65,PERFORMANCE!$E$2:$E$1000,"WEAN_WT",PERFORMANCE!$B$2:$B$1000,$B$3))</f>
        <v/>
      </c>
      <c r="P71" s="25">
        <f>IF($A65="","",AVERAGEIFS(PERFORMANCE!$F$2:$F$1000,PERFORMANCE!$C$2:$C$1000,$A65,PERFORMANCE!$E$2:$E$1000,"ADG",PERFORMANCE!$B$2:$B$1000,$B$3))</f>
        <v/>
      </c>
      <c r="Q71" s="27">
        <f>IF($A65="","",AVERAGEIFS(PERFORMANCE!$F$2:$F$1000,PERFORMANCE!$C$2:$C$1000,$A65,PERFORMANCE!$E$2:$E$1000,"SHEDDING",PERFORMANCE!$B$2:$B$1000,$B$3))</f>
        <v/>
      </c>
      <c r="R71" s="25">
        <f>IF($K65="","",IF(VLOOKUP($E65,PEN_STATS!$A$2:$V$10,4,FALSE)=0,0,-($K65-VLOOKUP($E65,PEN_STATS!$A$2:$V$10,3,FALSE))/VLOOKUP($E65,PEN_STATS!$A$2:$V$10,4,FALSE)))</f>
        <v/>
      </c>
      <c r="S71" s="25">
        <f>IF($L65="","",IF(VLOOKUP($E65,PEN_STATS!$A$2:$V$10,7,FALSE)=0,0,-($L65-VLOOKUP($E65,PEN_STATS!$A$2:$V$10,6,FALSE))/VLOOKUP($E65,PEN_STATS!$A$2:$V$10,7,FALSE)))</f>
        <v/>
      </c>
      <c r="T71" s="25">
        <f>IF($M65="","",IF(VLOOKUP($E65,PEN_STATS!$A$2:$V$10,10,FALSE)=0,0,-($M65-VLOOKUP($E65,PEN_STATS!$A$2:$V$10,9,FALSE))/VLOOKUP($E65,PEN_STATS!$A$2:$V$10,10,FALSE)))</f>
        <v/>
      </c>
      <c r="U71" s="25">
        <f>IF($N65="","",IF(VLOOKUP($E65,PEN_STATS!$A$2:$V$10,13,FALSE)=0,0,($N65-VLOOKUP($E65,PEN_STATS!$A$2:$V$10,12,FALSE))/VLOOKUP($E65,PEN_STATS!$A$2:$V$10,13,FALSE)))</f>
        <v/>
      </c>
      <c r="V71" s="25">
        <f>IF($O65="","",IF(VLOOKUP($E65,PEN_STATS!$A$2:$V$10,16,FALSE)=0,0,($O65-VLOOKUP($E65,PEN_STATS!$A$2:$V$10,15,FALSE))/VLOOKUP($E65,PEN_STATS!$A$2:$V$10,16,FALSE)))</f>
        <v/>
      </c>
      <c r="W71" s="25">
        <f>IF($P65="","",IF(VLOOKUP($E65,PEN_STATS!$A$2:$V$10,19,FALSE)=0,0,($P65-VLOOKUP($E65,PEN_STATS!$A$2:$V$10,18,FALSE))/VLOOKUP($E65,PEN_STATS!$A$2:$V$10,19,FALSE)))</f>
        <v/>
      </c>
      <c r="X71" s="25">
        <f>IF($Q65="","",IF(VLOOKUP($E65,PEN_STATS!$A$2:$V$10,22,FALSE)=0,0,($Q65-VLOOKUP($E65,PEN_STATS!$A$2:$V$10,21,FALSE))/VLOOKUP($E65,PEN_STATS!$A$2:$V$10,22,FALSE)))</f>
        <v/>
      </c>
      <c r="Y71" s="25">
        <f>IF($A65="","",'WEIGHTS_&amp;_RULES'!$B$12*$R65+'WEIGHTS_&amp;_RULES'!$B$13*$S65+'WEIGHTS_&amp;_RULES'!$B$14*$T65+'WEIGHTS_&amp;_RULES'!$B$15*$U65)</f>
        <v/>
      </c>
      <c r="Z71" s="25">
        <f>IF($A65="","",'WEIGHTS_&amp;_RULES'!$B$19*$V65+'WEIGHTS_&amp;_RULES'!$B$20*$W65)</f>
        <v/>
      </c>
      <c r="AA71" s="25">
        <f>IF($A65="","",'WEIGHTS_&amp;_RULES'!$B$24*$X65)</f>
        <v/>
      </c>
      <c r="AB71" s="25">
        <f>IF($A65="","",'WEIGHTS_&amp;_RULES'!$B$7*$Y65+'WEIGHTS_&amp;_RULES'!$B$8*$Z65+'WEIGHTS_&amp;_RULES'!$B$9*$AA65)</f>
        <v/>
      </c>
    </row>
    <row r="72">
      <c r="A72" s="9">
        <f>ANIMALS!A68</f>
        <v/>
      </c>
      <c r="B72" s="9">
        <f>ANIMALS!B68</f>
        <v/>
      </c>
      <c r="C72" s="9">
        <f>ANIMALS!D68</f>
        <v/>
      </c>
      <c r="D72" s="9">
        <f>ANIMALS!G68</f>
        <v/>
      </c>
      <c r="E72" s="9">
        <f>ANIMALS!H68</f>
        <v/>
      </c>
      <c r="F72" s="9">
        <f>ANIMALS!I68</f>
        <v/>
      </c>
      <c r="G72" s="9">
        <f>ANIMALS!O68</f>
        <v/>
      </c>
      <c r="H72" s="9">
        <f>ANIMALS!P68</f>
        <v/>
      </c>
      <c r="I72" s="9">
        <f>ANIMALS!Q68</f>
        <v/>
      </c>
      <c r="J72" s="9">
        <f>ANIMALS!R68</f>
        <v/>
      </c>
      <c r="K72" s="27">
        <f>IF($A65="","",AVERAGEIFS(PERFORMANCE!$F$2:$F$1000,PERFORMANCE!$C$2:$C$1000,$A65,PERFORMANCE!$E$2:$E$1000,"FAMACHA",PERFORMANCE!$B$2:$B$1000,$B$3))</f>
        <v/>
      </c>
      <c r="L72" s="7">
        <f>IF($A65="","",AVERAGEIFS(PERFORMANCE!$F$2:$F$1000,PERFORMANCE!$C$2:$C$1000,$A65,PERFORMANCE!$E$2:$E$1000,"FEC",PERFORMANCE!$B$2:$B$1000,$B$3))</f>
        <v/>
      </c>
      <c r="M72" s="7">
        <f>IF($A65="","",COUNTIFS(PERFORMANCE!$C$2:$C$1000,$A65,PERFORMANCE!$E$2:$E$1000,"DEWORM",PERFORMANCE!$B$2:$B$1000,$B$3))</f>
        <v/>
      </c>
      <c r="N72" s="29">
        <f>IF($A65="","",AVERAGEIFS(REPRODUCTION!$E$2:$E$1000,REPRODUCTION!$B$2:$B$1000,$A65,REPRODUCTION!$A$2:$A$1000,$B$3))</f>
        <v/>
      </c>
      <c r="O72" s="27">
        <f>IF($A65="","",AVERAGEIFS(PERFORMANCE!$F$2:$F$1000,PERFORMANCE!$C$2:$C$1000,$A65,PERFORMANCE!$E$2:$E$1000,"WEAN_WT",PERFORMANCE!$B$2:$B$1000,$B$3))</f>
        <v/>
      </c>
      <c r="P72" s="25">
        <f>IF($A65="","",AVERAGEIFS(PERFORMANCE!$F$2:$F$1000,PERFORMANCE!$C$2:$C$1000,$A65,PERFORMANCE!$E$2:$E$1000,"ADG",PERFORMANCE!$B$2:$B$1000,$B$3))</f>
        <v/>
      </c>
      <c r="Q72" s="27">
        <f>IF($A65="","",AVERAGEIFS(PERFORMANCE!$F$2:$F$1000,PERFORMANCE!$C$2:$C$1000,$A65,PERFORMANCE!$E$2:$E$1000,"SHEDDING",PERFORMANCE!$B$2:$B$1000,$B$3))</f>
        <v/>
      </c>
      <c r="R72" s="25">
        <f>IF($K65="","",IF(VLOOKUP($E65,PEN_STATS!$A$2:$V$10,4,FALSE)=0,0,-($K65-VLOOKUP($E65,PEN_STATS!$A$2:$V$10,3,FALSE))/VLOOKUP($E65,PEN_STATS!$A$2:$V$10,4,FALSE)))</f>
        <v/>
      </c>
      <c r="S72" s="25">
        <f>IF($L65="","",IF(VLOOKUP($E65,PEN_STATS!$A$2:$V$10,7,FALSE)=0,0,-($L65-VLOOKUP($E65,PEN_STATS!$A$2:$V$10,6,FALSE))/VLOOKUP($E65,PEN_STATS!$A$2:$V$10,7,FALSE)))</f>
        <v/>
      </c>
      <c r="T72" s="25">
        <f>IF($M65="","",IF(VLOOKUP($E65,PEN_STATS!$A$2:$V$10,10,FALSE)=0,0,-($M65-VLOOKUP($E65,PEN_STATS!$A$2:$V$10,9,FALSE))/VLOOKUP($E65,PEN_STATS!$A$2:$V$10,10,FALSE)))</f>
        <v/>
      </c>
      <c r="U72" s="25">
        <f>IF($N65="","",IF(VLOOKUP($E65,PEN_STATS!$A$2:$V$10,13,FALSE)=0,0,($N65-VLOOKUP($E65,PEN_STATS!$A$2:$V$10,12,FALSE))/VLOOKUP($E65,PEN_STATS!$A$2:$V$10,13,FALSE)))</f>
        <v/>
      </c>
      <c r="V72" s="25">
        <f>IF($O65="","",IF(VLOOKUP($E65,PEN_STATS!$A$2:$V$10,16,FALSE)=0,0,($O65-VLOOKUP($E65,PEN_STATS!$A$2:$V$10,15,FALSE))/VLOOKUP($E65,PEN_STATS!$A$2:$V$10,16,FALSE)))</f>
        <v/>
      </c>
      <c r="W72" s="25">
        <f>IF($P65="","",IF(VLOOKUP($E65,PEN_STATS!$A$2:$V$10,19,FALSE)=0,0,($P65-VLOOKUP($E65,PEN_STATS!$A$2:$V$10,18,FALSE))/VLOOKUP($E65,PEN_STATS!$A$2:$V$10,19,FALSE)))</f>
        <v/>
      </c>
      <c r="X72" s="25">
        <f>IF($Q65="","",IF(VLOOKUP($E65,PEN_STATS!$A$2:$V$10,22,FALSE)=0,0,($Q65-VLOOKUP($E65,PEN_STATS!$A$2:$V$10,21,FALSE))/VLOOKUP($E65,PEN_STATS!$A$2:$V$10,22,FALSE)))</f>
        <v/>
      </c>
      <c r="Y72" s="25">
        <f>IF($A65="","",'WEIGHTS_&amp;_RULES'!$B$12*$R65+'WEIGHTS_&amp;_RULES'!$B$13*$S65+'WEIGHTS_&amp;_RULES'!$B$14*$T65+'WEIGHTS_&amp;_RULES'!$B$15*$U65)</f>
        <v/>
      </c>
      <c r="Z72" s="25">
        <f>IF($A65="","",'WEIGHTS_&amp;_RULES'!$B$19*$V65+'WEIGHTS_&amp;_RULES'!$B$20*$W65)</f>
        <v/>
      </c>
      <c r="AA72" s="25">
        <f>IF($A65="","",'WEIGHTS_&amp;_RULES'!$B$24*$X65)</f>
        <v/>
      </c>
      <c r="AB72" s="25">
        <f>IF($A65="","",'WEIGHTS_&amp;_RULES'!$B$7*$Y65+'WEIGHTS_&amp;_RULES'!$B$8*$Z65+'WEIGHTS_&amp;_RULES'!$B$9*$AA65)</f>
        <v/>
      </c>
    </row>
    <row r="73">
      <c r="A73" s="9">
        <f>ANIMALS!A69</f>
        <v/>
      </c>
      <c r="B73" s="9">
        <f>ANIMALS!B69</f>
        <v/>
      </c>
      <c r="C73" s="9">
        <f>ANIMALS!D69</f>
        <v/>
      </c>
      <c r="D73" s="9">
        <f>ANIMALS!G69</f>
        <v/>
      </c>
      <c r="E73" s="9">
        <f>ANIMALS!H69</f>
        <v/>
      </c>
      <c r="F73" s="9">
        <f>ANIMALS!I69</f>
        <v/>
      </c>
      <c r="G73" s="9">
        <f>ANIMALS!O69</f>
        <v/>
      </c>
      <c r="H73" s="9">
        <f>ANIMALS!P69</f>
        <v/>
      </c>
      <c r="I73" s="9">
        <f>ANIMALS!Q69</f>
        <v/>
      </c>
      <c r="J73" s="9">
        <f>ANIMALS!R69</f>
        <v/>
      </c>
      <c r="K73" s="27">
        <f>IF($A65="","",AVERAGEIFS(PERFORMANCE!$F$2:$F$1000,PERFORMANCE!$C$2:$C$1000,$A65,PERFORMANCE!$E$2:$E$1000,"FAMACHA",PERFORMANCE!$B$2:$B$1000,$B$3))</f>
        <v/>
      </c>
      <c r="L73" s="7">
        <f>IF($A65="","",AVERAGEIFS(PERFORMANCE!$F$2:$F$1000,PERFORMANCE!$C$2:$C$1000,$A65,PERFORMANCE!$E$2:$E$1000,"FEC",PERFORMANCE!$B$2:$B$1000,$B$3))</f>
        <v/>
      </c>
      <c r="M73" s="7">
        <f>IF($A65="","",COUNTIFS(PERFORMANCE!$C$2:$C$1000,$A65,PERFORMANCE!$E$2:$E$1000,"DEWORM",PERFORMANCE!$B$2:$B$1000,$B$3))</f>
        <v/>
      </c>
      <c r="N73" s="29">
        <f>IF($A65="","",AVERAGEIFS(REPRODUCTION!$E$2:$E$1000,REPRODUCTION!$B$2:$B$1000,$A65,REPRODUCTION!$A$2:$A$1000,$B$3))</f>
        <v/>
      </c>
      <c r="O73" s="27">
        <f>IF($A65="","",AVERAGEIFS(PERFORMANCE!$F$2:$F$1000,PERFORMANCE!$C$2:$C$1000,$A65,PERFORMANCE!$E$2:$E$1000,"WEAN_WT",PERFORMANCE!$B$2:$B$1000,$B$3))</f>
        <v/>
      </c>
      <c r="P73" s="25">
        <f>IF($A65="","",AVERAGEIFS(PERFORMANCE!$F$2:$F$1000,PERFORMANCE!$C$2:$C$1000,$A65,PERFORMANCE!$E$2:$E$1000,"ADG",PERFORMANCE!$B$2:$B$1000,$B$3))</f>
        <v/>
      </c>
      <c r="Q73" s="27">
        <f>IF($A65="","",AVERAGEIFS(PERFORMANCE!$F$2:$F$1000,PERFORMANCE!$C$2:$C$1000,$A65,PERFORMANCE!$E$2:$E$1000,"SHEDDING",PERFORMANCE!$B$2:$B$1000,$B$3))</f>
        <v/>
      </c>
      <c r="R73" s="25">
        <f>IF($K65="","",IF(VLOOKUP($E65,PEN_STATS!$A$2:$V$10,4,FALSE)=0,0,-($K65-VLOOKUP($E65,PEN_STATS!$A$2:$V$10,3,FALSE))/VLOOKUP($E65,PEN_STATS!$A$2:$V$10,4,FALSE)))</f>
        <v/>
      </c>
      <c r="S73" s="25">
        <f>IF($L65="","",IF(VLOOKUP($E65,PEN_STATS!$A$2:$V$10,7,FALSE)=0,0,-($L65-VLOOKUP($E65,PEN_STATS!$A$2:$V$10,6,FALSE))/VLOOKUP($E65,PEN_STATS!$A$2:$V$10,7,FALSE)))</f>
        <v/>
      </c>
      <c r="T73" s="25">
        <f>IF($M65="","",IF(VLOOKUP($E65,PEN_STATS!$A$2:$V$10,10,FALSE)=0,0,-($M65-VLOOKUP($E65,PEN_STATS!$A$2:$V$10,9,FALSE))/VLOOKUP($E65,PEN_STATS!$A$2:$V$10,10,FALSE)))</f>
        <v/>
      </c>
      <c r="U73" s="25">
        <f>IF($N65="","",IF(VLOOKUP($E65,PEN_STATS!$A$2:$V$10,13,FALSE)=0,0,($N65-VLOOKUP($E65,PEN_STATS!$A$2:$V$10,12,FALSE))/VLOOKUP($E65,PEN_STATS!$A$2:$V$10,13,FALSE)))</f>
        <v/>
      </c>
      <c r="V73" s="25">
        <f>IF($O65="","",IF(VLOOKUP($E65,PEN_STATS!$A$2:$V$10,16,FALSE)=0,0,($O65-VLOOKUP($E65,PEN_STATS!$A$2:$V$10,15,FALSE))/VLOOKUP($E65,PEN_STATS!$A$2:$V$10,16,FALSE)))</f>
        <v/>
      </c>
      <c r="W73" s="25">
        <f>IF($P65="","",IF(VLOOKUP($E65,PEN_STATS!$A$2:$V$10,19,FALSE)=0,0,($P65-VLOOKUP($E65,PEN_STATS!$A$2:$V$10,18,FALSE))/VLOOKUP($E65,PEN_STATS!$A$2:$V$10,19,FALSE)))</f>
        <v/>
      </c>
      <c r="X73" s="25">
        <f>IF($Q65="","",IF(VLOOKUP($E65,PEN_STATS!$A$2:$V$10,22,FALSE)=0,0,($Q65-VLOOKUP($E65,PEN_STATS!$A$2:$V$10,21,FALSE))/VLOOKUP($E65,PEN_STATS!$A$2:$V$10,22,FALSE)))</f>
        <v/>
      </c>
      <c r="Y73" s="25">
        <f>IF($A65="","",'WEIGHTS_&amp;_RULES'!$B$12*$R65+'WEIGHTS_&amp;_RULES'!$B$13*$S65+'WEIGHTS_&amp;_RULES'!$B$14*$T65+'WEIGHTS_&amp;_RULES'!$B$15*$U65)</f>
        <v/>
      </c>
      <c r="Z73" s="25">
        <f>IF($A65="","",'WEIGHTS_&amp;_RULES'!$B$19*$V65+'WEIGHTS_&amp;_RULES'!$B$20*$W65)</f>
        <v/>
      </c>
      <c r="AA73" s="25">
        <f>IF($A65="","",'WEIGHTS_&amp;_RULES'!$B$24*$X65)</f>
        <v/>
      </c>
      <c r="AB73" s="25">
        <f>IF($A65="","",'WEIGHTS_&amp;_RULES'!$B$7*$Y65+'WEIGHTS_&amp;_RULES'!$B$8*$Z65+'WEIGHTS_&amp;_RULES'!$B$9*$AA65)</f>
        <v/>
      </c>
    </row>
    <row r="74">
      <c r="A74" s="9">
        <f>ANIMALS!A70</f>
        <v/>
      </c>
      <c r="B74" s="9">
        <f>ANIMALS!B70</f>
        <v/>
      </c>
      <c r="C74" s="9">
        <f>ANIMALS!D70</f>
        <v/>
      </c>
      <c r="D74" s="9">
        <f>ANIMALS!G70</f>
        <v/>
      </c>
      <c r="E74" s="9">
        <f>ANIMALS!H70</f>
        <v/>
      </c>
      <c r="F74" s="9">
        <f>ANIMALS!I70</f>
        <v/>
      </c>
      <c r="G74" s="9">
        <f>ANIMALS!O70</f>
        <v/>
      </c>
      <c r="H74" s="9">
        <f>ANIMALS!P70</f>
        <v/>
      </c>
      <c r="I74" s="9">
        <f>ANIMALS!Q70</f>
        <v/>
      </c>
      <c r="J74" s="9">
        <f>ANIMALS!R70</f>
        <v/>
      </c>
      <c r="K74" s="27">
        <f>IF($A65="","",AVERAGEIFS(PERFORMANCE!$F$2:$F$1000,PERFORMANCE!$C$2:$C$1000,$A65,PERFORMANCE!$E$2:$E$1000,"FAMACHA",PERFORMANCE!$B$2:$B$1000,$B$3))</f>
        <v/>
      </c>
      <c r="L74" s="7">
        <f>IF($A65="","",AVERAGEIFS(PERFORMANCE!$F$2:$F$1000,PERFORMANCE!$C$2:$C$1000,$A65,PERFORMANCE!$E$2:$E$1000,"FEC",PERFORMANCE!$B$2:$B$1000,$B$3))</f>
        <v/>
      </c>
      <c r="M74" s="7">
        <f>IF($A65="","",COUNTIFS(PERFORMANCE!$C$2:$C$1000,$A65,PERFORMANCE!$E$2:$E$1000,"DEWORM",PERFORMANCE!$B$2:$B$1000,$B$3))</f>
        <v/>
      </c>
      <c r="N74" s="29">
        <f>IF($A65="","",AVERAGEIFS(REPRODUCTION!$E$2:$E$1000,REPRODUCTION!$B$2:$B$1000,$A65,REPRODUCTION!$A$2:$A$1000,$B$3))</f>
        <v/>
      </c>
      <c r="O74" s="27">
        <f>IF($A65="","",AVERAGEIFS(PERFORMANCE!$F$2:$F$1000,PERFORMANCE!$C$2:$C$1000,$A65,PERFORMANCE!$E$2:$E$1000,"WEAN_WT",PERFORMANCE!$B$2:$B$1000,$B$3))</f>
        <v/>
      </c>
      <c r="P74" s="25">
        <f>IF($A65="","",AVERAGEIFS(PERFORMANCE!$F$2:$F$1000,PERFORMANCE!$C$2:$C$1000,$A65,PERFORMANCE!$E$2:$E$1000,"ADG",PERFORMANCE!$B$2:$B$1000,$B$3))</f>
        <v/>
      </c>
      <c r="Q74" s="27">
        <f>IF($A65="","",AVERAGEIFS(PERFORMANCE!$F$2:$F$1000,PERFORMANCE!$C$2:$C$1000,$A65,PERFORMANCE!$E$2:$E$1000,"SHEDDING",PERFORMANCE!$B$2:$B$1000,$B$3))</f>
        <v/>
      </c>
      <c r="R74" s="25">
        <f>IF($K65="","",IF(VLOOKUP($E65,PEN_STATS!$A$2:$V$10,4,FALSE)=0,0,-($K65-VLOOKUP($E65,PEN_STATS!$A$2:$V$10,3,FALSE))/VLOOKUP($E65,PEN_STATS!$A$2:$V$10,4,FALSE)))</f>
        <v/>
      </c>
      <c r="S74" s="25">
        <f>IF($L65="","",IF(VLOOKUP($E65,PEN_STATS!$A$2:$V$10,7,FALSE)=0,0,-($L65-VLOOKUP($E65,PEN_STATS!$A$2:$V$10,6,FALSE))/VLOOKUP($E65,PEN_STATS!$A$2:$V$10,7,FALSE)))</f>
        <v/>
      </c>
      <c r="T74" s="25">
        <f>IF($M65="","",IF(VLOOKUP($E65,PEN_STATS!$A$2:$V$10,10,FALSE)=0,0,-($M65-VLOOKUP($E65,PEN_STATS!$A$2:$V$10,9,FALSE))/VLOOKUP($E65,PEN_STATS!$A$2:$V$10,10,FALSE)))</f>
        <v/>
      </c>
      <c r="U74" s="25">
        <f>IF($N65="","",IF(VLOOKUP($E65,PEN_STATS!$A$2:$V$10,13,FALSE)=0,0,($N65-VLOOKUP($E65,PEN_STATS!$A$2:$V$10,12,FALSE))/VLOOKUP($E65,PEN_STATS!$A$2:$V$10,13,FALSE)))</f>
        <v/>
      </c>
      <c r="V74" s="25">
        <f>IF($O65="","",IF(VLOOKUP($E65,PEN_STATS!$A$2:$V$10,16,FALSE)=0,0,($O65-VLOOKUP($E65,PEN_STATS!$A$2:$V$10,15,FALSE))/VLOOKUP($E65,PEN_STATS!$A$2:$V$10,16,FALSE)))</f>
        <v/>
      </c>
      <c r="W74" s="25">
        <f>IF($P65="","",IF(VLOOKUP($E65,PEN_STATS!$A$2:$V$10,19,FALSE)=0,0,($P65-VLOOKUP($E65,PEN_STATS!$A$2:$V$10,18,FALSE))/VLOOKUP($E65,PEN_STATS!$A$2:$V$10,19,FALSE)))</f>
        <v/>
      </c>
      <c r="X74" s="25">
        <f>IF($Q65="","",IF(VLOOKUP($E65,PEN_STATS!$A$2:$V$10,22,FALSE)=0,0,($Q65-VLOOKUP($E65,PEN_STATS!$A$2:$V$10,21,FALSE))/VLOOKUP($E65,PEN_STATS!$A$2:$V$10,22,FALSE)))</f>
        <v/>
      </c>
      <c r="Y74" s="25">
        <f>IF($A65="","",'WEIGHTS_&amp;_RULES'!$B$12*$R65+'WEIGHTS_&amp;_RULES'!$B$13*$S65+'WEIGHTS_&amp;_RULES'!$B$14*$T65+'WEIGHTS_&amp;_RULES'!$B$15*$U65)</f>
        <v/>
      </c>
      <c r="Z74" s="25">
        <f>IF($A65="","",'WEIGHTS_&amp;_RULES'!$B$19*$V65+'WEIGHTS_&amp;_RULES'!$B$20*$W65)</f>
        <v/>
      </c>
      <c r="AA74" s="25">
        <f>IF($A65="","",'WEIGHTS_&amp;_RULES'!$B$24*$X65)</f>
        <v/>
      </c>
      <c r="AB74" s="25">
        <f>IF($A65="","",'WEIGHTS_&amp;_RULES'!$B$7*$Y65+'WEIGHTS_&amp;_RULES'!$B$8*$Z65+'WEIGHTS_&amp;_RULES'!$B$9*$AA65)</f>
        <v/>
      </c>
    </row>
  </sheetData>
  <mergeCells count="1">
    <mergeCell ref="A1:U1"/>
  </mergeCells>
  <conditionalFormatting sqref="AB6:AB65">
    <cfRule type="expression" priority="1" dxfId="2">
      <formula>=AND($AB6&lt;&gt;"",$AB6&gt;=PERCENTILE($AB$6:$AB$65,0.9))</formula>
    </cfRule>
    <cfRule type="expression" priority="2" dxfId="1">
      <formula>=AND($AB6&lt;&gt;"",$AB6&lt;=PERCENTILE($AB$6:$AB$65,0.1))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  <col width="45" customWidth="1" min="9" max="9"/>
  </cols>
  <sheetData>
    <row r="1">
      <c r="A1" s="33" t="inlineStr">
        <is>
          <t>Name</t>
        </is>
      </c>
      <c r="B1" s="33" t="inlineStr">
        <is>
          <t>Ear Tag</t>
        </is>
      </c>
      <c r="C1" s="33" t="inlineStr">
        <is>
          <t>Gender</t>
        </is>
      </c>
      <c r="D1" s="33" t="inlineStr">
        <is>
          <t>DOB</t>
        </is>
      </c>
      <c r="E1" s="33" t="inlineStr">
        <is>
          <t>Sire</t>
        </is>
      </c>
      <c r="F1" s="33" t="inlineStr">
        <is>
          <t>Dam</t>
        </is>
      </c>
      <c r="G1" s="33" t="inlineStr">
        <is>
          <t>Breed</t>
        </is>
      </c>
      <c r="H1" s="33" t="inlineStr">
        <is>
          <t>Status</t>
        </is>
      </c>
      <c r="I1" s="33" t="inlineStr">
        <is>
          <t>Conflict Note</t>
        </is>
      </c>
    </row>
    <row r="2">
      <c r="A2" s="32" t="inlineStr">
        <is>
          <t>Sir Loin</t>
        </is>
      </c>
      <c r="B2" s="32" t="n">
        <v>0</v>
      </c>
      <c r="C2" s="32" t="inlineStr">
        <is>
          <t>R</t>
        </is>
      </c>
      <c r="D2" s="32" t="inlineStr">
        <is>
          <t>1/1/2012</t>
        </is>
      </c>
      <c r="E2" s="32" t="inlineStr">
        <is>
          <t>Chip</t>
        </is>
      </c>
      <c r="F2" s="32" t="inlineStr">
        <is>
          <t>Shirley</t>
        </is>
      </c>
      <c r="G2" s="32" t="inlineStr">
        <is>
          <t>St Augustine</t>
        </is>
      </c>
      <c r="H2" s="32" t="inlineStr">
        <is>
          <t>Alive</t>
        </is>
      </c>
      <c r="I2" s="32" t="inlineStr">
        <is>
          <t>CSV roster marked Alive, but not in 2026-01-06 living list (user-supersedes). Verify.</t>
        </is>
      </c>
    </row>
    <row r="3">
      <c r="A3" s="32" t="inlineStr">
        <is>
          <t>S'More</t>
        </is>
      </c>
      <c r="B3" s="32" t="n">
        <v>1</v>
      </c>
      <c r="C3" s="32" t="inlineStr">
        <is>
          <t>R</t>
        </is>
      </c>
      <c r="D3" s="32" t="inlineStr">
        <is>
          <t>1/14/2021</t>
        </is>
      </c>
      <c r="E3" s="32" t="inlineStr">
        <is>
          <t>Gigantus</t>
        </is>
      </c>
      <c r="F3" s="32" t="inlineStr">
        <is>
          <t>Minnie</t>
        </is>
      </c>
      <c r="G3" s="32" t="inlineStr">
        <is>
          <t>Cracker</t>
        </is>
      </c>
      <c r="H3" s="32" t="inlineStr">
        <is>
          <t>Alive</t>
        </is>
      </c>
      <c r="I3" s="32" t="inlineStr">
        <is>
          <t>CSV roster marked Alive, but not in 2026-01-06 living list (user-supersedes). Verify.</t>
        </is>
      </c>
    </row>
    <row r="4">
      <c r="A4" s="32" t="inlineStr">
        <is>
          <t>Well Done</t>
        </is>
      </c>
      <c r="B4" s="32" t="n">
        <v>2</v>
      </c>
      <c r="C4" s="32" t="inlineStr">
        <is>
          <t>R</t>
        </is>
      </c>
      <c r="D4" s="32" t="inlineStr">
        <is>
          <t>2/14/2021</t>
        </is>
      </c>
      <c r="E4" s="32" t="inlineStr">
        <is>
          <t>Big Daddy</t>
        </is>
      </c>
      <c r="F4" s="32" t="inlineStr">
        <is>
          <t>Golf</t>
        </is>
      </c>
      <c r="G4" s="32" t="inlineStr">
        <is>
          <t>Katahdin</t>
        </is>
      </c>
      <c r="H4" s="32" t="inlineStr">
        <is>
          <t>Alive</t>
        </is>
      </c>
      <c r="I4" s="32" t="inlineStr">
        <is>
          <t>CSV roster marked Alive, but not in 2026-01-06 living list (user-supersedes). Verify.</t>
        </is>
      </c>
    </row>
    <row r="5">
      <c r="A5" s="32" t="inlineStr">
        <is>
          <t>Anna</t>
        </is>
      </c>
      <c r="B5" s="32" t="n">
        <v>3</v>
      </c>
      <c r="C5" s="32" t="inlineStr">
        <is>
          <t>E</t>
        </is>
      </c>
      <c r="D5" s="32" t="inlineStr">
        <is>
          <t>1/1/2010</t>
        </is>
      </c>
      <c r="E5" s="32" t="inlineStr">
        <is>
          <t>Show King</t>
        </is>
      </c>
      <c r="F5" s="32" t="inlineStr">
        <is>
          <t>Queen</t>
        </is>
      </c>
      <c r="G5" s="32" t="inlineStr">
        <is>
          <t>Katahdin</t>
        </is>
      </c>
      <c r="H5" s="32" t="inlineStr">
        <is>
          <t>Alive</t>
        </is>
      </c>
      <c r="I5" s="32" t="inlineStr">
        <is>
          <t>CSV roster marked Alive, but not in 2026-01-06 living list (user-supersedes). Verify.</t>
        </is>
      </c>
    </row>
    <row r="6">
      <c r="A6" s="32" t="inlineStr">
        <is>
          <t>Banana</t>
        </is>
      </c>
      <c r="B6" s="32" t="n">
        <v>4</v>
      </c>
      <c r="C6" s="32" t="inlineStr">
        <is>
          <t>E</t>
        </is>
      </c>
      <c r="D6" s="32" t="inlineStr">
        <is>
          <t>12/1/2014</t>
        </is>
      </c>
      <c r="E6" s="32" t="inlineStr">
        <is>
          <t>Sir Loin</t>
        </is>
      </c>
      <c r="F6" s="32" t="inlineStr">
        <is>
          <t>Anna</t>
        </is>
      </c>
      <c r="G6" s="32" t="inlineStr">
        <is>
          <t>62.5% Katahdin, 37.5% St Augustine</t>
        </is>
      </c>
      <c r="H6" s="32" t="inlineStr">
        <is>
          <t>Alive</t>
        </is>
      </c>
      <c r="I6" s="32" t="inlineStr">
        <is>
          <t>CSV roster marked Alive, but not in 2026-01-06 living list (user-supersedes). Verify.</t>
        </is>
      </c>
    </row>
    <row r="7">
      <c r="A7" s="32" t="inlineStr">
        <is>
          <t>Brown Knee</t>
        </is>
      </c>
      <c r="B7" s="32" t="n">
        <v>5</v>
      </c>
      <c r="C7" s="32" t="inlineStr">
        <is>
          <t>E</t>
        </is>
      </c>
      <c r="D7" s="32" t="inlineStr">
        <is>
          <t>12/1/2014</t>
        </is>
      </c>
      <c r="E7" s="32" t="inlineStr">
        <is>
          <t>Sir Loin</t>
        </is>
      </c>
      <c r="F7" s="32" t="inlineStr">
        <is>
          <t>Banana</t>
        </is>
      </c>
      <c r="G7" s="32" t="inlineStr">
        <is>
          <t>56% Katahdin 44% St Augustine</t>
        </is>
      </c>
      <c r="H7" s="32" t="inlineStr">
        <is>
          <t>Alive</t>
        </is>
      </c>
      <c r="I7" s="32" t="inlineStr">
        <is>
          <t>CSV roster marked Alive, but not in 2026-01-06 living list (user-supersedes). Verify.</t>
        </is>
      </c>
    </row>
    <row r="8">
      <c r="A8" s="32" t="inlineStr">
        <is>
          <t>Black Spot on Ear</t>
        </is>
      </c>
      <c r="B8" s="32" t="n">
        <v>6</v>
      </c>
      <c r="C8" s="32" t="inlineStr">
        <is>
          <t>E</t>
        </is>
      </c>
      <c r="D8" s="32" t="inlineStr">
        <is>
          <t>11/25/2015</t>
        </is>
      </c>
      <c r="E8" s="32" t="inlineStr">
        <is>
          <t>Sir Loin</t>
        </is>
      </c>
      <c r="F8" s="32" t="inlineStr">
        <is>
          <t>Brown Knee</t>
        </is>
      </c>
      <c r="G8" s="32" t="inlineStr">
        <is>
          <t>65.5% St Augustine 34.5% Katahdin</t>
        </is>
      </c>
      <c r="H8" s="32" t="inlineStr">
        <is>
          <t>Alive</t>
        </is>
      </c>
      <c r="I8" s="32" t="inlineStr">
        <is>
          <t>CSV roster marked Alive, but not in 2026-01-06 living list (user-supersedes). Verify.</t>
        </is>
      </c>
    </row>
    <row r="9">
      <c r="A9" s="32" t="inlineStr">
        <is>
          <t>Banana Split</t>
        </is>
      </c>
      <c r="B9" s="32" t="n">
        <v>7</v>
      </c>
      <c r="C9" s="32" t="inlineStr">
        <is>
          <t>E</t>
        </is>
      </c>
      <c r="D9" s="32" t="inlineStr">
        <is>
          <t>11/14/2015</t>
        </is>
      </c>
      <c r="E9" s="32" t="inlineStr">
        <is>
          <t>Sir Loin</t>
        </is>
      </c>
      <c r="F9" s="32" t="inlineStr">
        <is>
          <t>Black Spot on Ear</t>
        </is>
      </c>
      <c r="G9" s="32" t="inlineStr">
        <is>
          <t>70.25 St Augustine 29.75 Katahdin</t>
        </is>
      </c>
      <c r="H9" s="32" t="inlineStr">
        <is>
          <t>Alive</t>
        </is>
      </c>
      <c r="I9" s="32" t="inlineStr">
        <is>
          <t>CSV roster marked Alive, but not in 2026-01-06 living list (user-supersedes). Verify.</t>
        </is>
      </c>
    </row>
    <row r="10">
      <c r="A10" s="32" t="inlineStr">
        <is>
          <t>Banana Split Baby</t>
        </is>
      </c>
      <c r="B10" s="32" t="n">
        <v>8</v>
      </c>
      <c r="C10" s="32" t="inlineStr">
        <is>
          <t>R</t>
        </is>
      </c>
      <c r="D10" s="32" t="inlineStr">
        <is>
          <t>2/23/2022</t>
        </is>
      </c>
      <c r="E10" s="32" t="inlineStr">
        <is>
          <t>Sir Loin</t>
        </is>
      </c>
      <c r="F10" s="32" t="inlineStr">
        <is>
          <t>Banana Split</t>
        </is>
      </c>
      <c r="G10" s="32" t="inlineStr">
        <is>
          <t>72.625 St Augustine 27.375 Katahdin</t>
        </is>
      </c>
      <c r="H10" s="32" t="inlineStr">
        <is>
          <t>Alive</t>
        </is>
      </c>
      <c r="I10" s="32" t="inlineStr">
        <is>
          <t>CSV roster marked Alive, but not in 2026-01-06 living list (user-supersedes). Verify.</t>
        </is>
      </c>
    </row>
    <row r="11">
      <c r="A11" s="32" t="inlineStr">
        <is>
          <t>Anna's Big One</t>
        </is>
      </c>
      <c r="B11" s="32" t="n">
        <v>9</v>
      </c>
      <c r="C11" s="32" t="inlineStr">
        <is>
          <t>E</t>
        </is>
      </c>
      <c r="D11" s="32" t="inlineStr">
        <is>
          <t>11/20/2021</t>
        </is>
      </c>
      <c r="E11" s="32" t="inlineStr">
        <is>
          <t>Sir Loin</t>
        </is>
      </c>
      <c r="F11" s="32" t="inlineStr">
        <is>
          <t>Anna</t>
        </is>
      </c>
      <c r="G11" s="32" t="inlineStr">
        <is>
          <t>62.5% Katahdin, 37.5% St Augustine</t>
        </is>
      </c>
      <c r="H11" s="32" t="inlineStr">
        <is>
          <t>Alive</t>
        </is>
      </c>
      <c r="I11" s="32" t="inlineStr">
        <is>
          <t>CSV roster marked Alive, but not in 2026-01-06 living list (user-supersedes). Verify.</t>
        </is>
      </c>
    </row>
    <row r="12">
      <c r="A12" s="32" t="inlineStr">
        <is>
          <t>Boots</t>
        </is>
      </c>
      <c r="B12" s="32" t="n">
        <v>10</v>
      </c>
      <c r="C12" s="32" t="inlineStr">
        <is>
          <t>E</t>
        </is>
      </c>
      <c r="D12" s="32" t="inlineStr">
        <is>
          <t>1/14/2021</t>
        </is>
      </c>
      <c r="E12" s="32" t="inlineStr">
        <is>
          <t>Boots Dad</t>
        </is>
      </c>
      <c r="F12" s="32" t="inlineStr">
        <is>
          <t>Boots Mom</t>
        </is>
      </c>
      <c r="G12" s="32" t="inlineStr">
        <is>
          <t>50% Katahdin 50% Dorper</t>
        </is>
      </c>
      <c r="H12" s="32" t="inlineStr">
        <is>
          <t>Alive</t>
        </is>
      </c>
      <c r="I12" s="32" t="inlineStr">
        <is>
          <t>CSV roster marked Alive, but not in 2026-01-06 living list (user-supersedes). Verify.</t>
        </is>
      </c>
    </row>
    <row r="13">
      <c r="A13" s="32" t="inlineStr">
        <is>
          <t>Stew</t>
        </is>
      </c>
      <c r="B13" s="32" t="n">
        <v>11</v>
      </c>
      <c r="C13" s="32" t="inlineStr">
        <is>
          <t>R</t>
        </is>
      </c>
      <c r="D13" s="32" t="inlineStr">
        <is>
          <t>2/8/2022</t>
        </is>
      </c>
      <c r="E13" s="32" t="inlineStr">
        <is>
          <t>Fleecity</t>
        </is>
      </c>
      <c r="F13" s="32" t="inlineStr">
        <is>
          <t>Well Done</t>
        </is>
      </c>
      <c r="G13" s="32" t="inlineStr">
        <is>
          <t>75% Katahdin 25% Dorper</t>
        </is>
      </c>
      <c r="H13" s="32" t="inlineStr">
        <is>
          <t>Alive</t>
        </is>
      </c>
      <c r="I13" s="32" t="inlineStr">
        <is>
          <t>CSV roster marked Alive, but not in 2026-01-06 living list (user-supersedes). Verify.</t>
        </is>
      </c>
    </row>
    <row r="14">
      <c r="A14" s="32" t="inlineStr">
        <is>
          <t xml:space="preserve">Fleecity </t>
        </is>
      </c>
      <c r="B14" s="32" t="n">
        <v>12</v>
      </c>
      <c r="C14" s="32" t="inlineStr">
        <is>
          <t>E</t>
        </is>
      </c>
      <c r="D14" s="32" t="inlineStr">
        <is>
          <t>1/14/2021</t>
        </is>
      </c>
      <c r="E14" s="32" t="inlineStr">
        <is>
          <t>Boots Dad</t>
        </is>
      </c>
      <c r="F14" s="32" t="inlineStr">
        <is>
          <t>Boots Mom</t>
        </is>
      </c>
      <c r="G14" s="32" t="inlineStr">
        <is>
          <t>50% Katahdin 50% Dorper</t>
        </is>
      </c>
      <c r="H14" s="32" t="inlineStr">
        <is>
          <t>Alive</t>
        </is>
      </c>
      <c r="I14" s="32" t="inlineStr">
        <is>
          <t>CSV roster marked Alive, but not in 2026-01-06 living list (user-supersedes). Verify.</t>
        </is>
      </c>
    </row>
    <row r="15">
      <c r="A15" s="32" t="inlineStr">
        <is>
          <t>Shaggy</t>
        </is>
      </c>
      <c r="B15" s="32" t="n">
        <v>13</v>
      </c>
      <c r="C15" s="32" t="inlineStr">
        <is>
          <t>E</t>
        </is>
      </c>
      <c r="D15" s="32" t="inlineStr">
        <is>
          <t>2/15/2021</t>
        </is>
      </c>
      <c r="E15" s="32" t="inlineStr">
        <is>
          <t>Shaggys Dad</t>
        </is>
      </c>
      <c r="F15" s="32" t="inlineStr">
        <is>
          <t>Shaggys Mom</t>
        </is>
      </c>
      <c r="G15" s="32" t="inlineStr">
        <is>
          <t>50% Babydoll 50% Jacob</t>
        </is>
      </c>
      <c r="H15" s="32" t="inlineStr">
        <is>
          <t>Alive</t>
        </is>
      </c>
      <c r="I15" s="32" t="inlineStr">
        <is>
          <t>CSV roster marked Alive, but not in 2026-01-06 living list (user-supersedes). Verify.</t>
        </is>
      </c>
    </row>
    <row r="16">
      <c r="A16" s="32" t="inlineStr">
        <is>
          <t>FM</t>
        </is>
      </c>
      <c r="B16" s="32" t="n">
        <v>14</v>
      </c>
      <c r="C16" s="32" t="inlineStr">
        <is>
          <t>E</t>
        </is>
      </c>
      <c r="D16" s="32" t="inlineStr">
        <is>
          <t>1/1/2021</t>
        </is>
      </c>
      <c r="E16" s="32" t="inlineStr">
        <is>
          <t>FM's Dad</t>
        </is>
      </c>
      <c r="F16" s="32" t="inlineStr">
        <is>
          <t>Fms Mom</t>
        </is>
      </c>
      <c r="G16" s="32" t="inlineStr">
        <is>
          <t>50% Cotswald 50% Tunis</t>
        </is>
      </c>
      <c r="H16" s="32" t="inlineStr">
        <is>
          <t>Alive</t>
        </is>
      </c>
      <c r="I16" s="32" t="inlineStr">
        <is>
          <t>CSV roster marked Alive, but not in 2026-01-06 living list (user-supersedes). Verify.</t>
        </is>
      </c>
    </row>
    <row r="17">
      <c r="A17" s="32" t="inlineStr">
        <is>
          <t>Half Tail</t>
        </is>
      </c>
      <c r="B17" s="32" t="n">
        <v>15</v>
      </c>
      <c r="C17" s="32" t="inlineStr">
        <is>
          <t>E</t>
        </is>
      </c>
      <c r="D17" s="32" t="inlineStr">
        <is>
          <t>1-1-2016</t>
        </is>
      </c>
      <c r="E17" s="32" t="inlineStr">
        <is>
          <t>Sir Loin</t>
        </is>
      </c>
      <c r="F17" s="32" t="inlineStr">
        <is>
          <t>Hersheys</t>
        </is>
      </c>
      <c r="G17" s="32" t="inlineStr">
        <is>
          <t>44% Katahdin 56% St Augustine</t>
        </is>
      </c>
      <c r="H17" s="32" t="inlineStr">
        <is>
          <t>Alive</t>
        </is>
      </c>
      <c r="I17" s="32" t="inlineStr">
        <is>
          <t>CSV roster marked Alive, but not in 2026-01-06 living list (user-supersedes). Verify.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 ht="22" customHeight="1">
      <c r="A1" s="4" t="inlineStr">
        <is>
          <t>Key (Ram|Ewe) (calc)</t>
        </is>
      </c>
      <c r="B1" s="4" t="inlineStr">
        <is>
          <t>RamID*</t>
        </is>
      </c>
      <c r="C1" s="4" t="inlineStr">
        <is>
          <t>EweID*</t>
        </is>
      </c>
      <c r="D1" s="4" t="inlineStr">
        <is>
          <t>a_sd (relationship)</t>
        </is>
      </c>
      <c r="E1" s="4" t="inlineStr">
        <is>
          <t>F_offspring</t>
        </is>
      </c>
    </row>
    <row r="2">
      <c r="A2" s="9">
        <f>IF(OR($B2="",$C2=""),"",$B2&amp;"|"&amp;$C2)</f>
        <v/>
      </c>
      <c r="B2" s="5" t="inlineStr"/>
      <c r="C2" s="5" t="inlineStr"/>
      <c r="D2" s="5" t="inlineStr"/>
      <c r="E2" s="30" t="inlineStr"/>
    </row>
    <row r="3">
      <c r="A3" s="9">
        <f>IF(OR($B3="",$C3=""),"",$B3&amp;"|"&amp;$C3)</f>
        <v/>
      </c>
      <c r="B3" s="5" t="inlineStr"/>
      <c r="C3" s="5" t="inlineStr"/>
      <c r="D3" s="5" t="inlineStr"/>
      <c r="E3" s="30" t="inlineStr"/>
    </row>
    <row r="4">
      <c r="A4" s="9">
        <f>IF(OR($B4="",$C4=""),"",$B4&amp;"|"&amp;$C4)</f>
        <v/>
      </c>
      <c r="B4" s="5" t="inlineStr"/>
      <c r="C4" s="5" t="inlineStr"/>
      <c r="D4" s="5" t="inlineStr"/>
      <c r="E4" s="30" t="inlineStr"/>
    </row>
    <row r="5">
      <c r="A5" s="9">
        <f>IF(OR($B5="",$C5=""),"",$B5&amp;"|"&amp;$C5)</f>
        <v/>
      </c>
      <c r="B5" s="5" t="inlineStr"/>
      <c r="C5" s="5" t="inlineStr"/>
      <c r="D5" s="5" t="inlineStr"/>
      <c r="E5" s="30" t="inlineStr"/>
    </row>
    <row r="6">
      <c r="A6" s="9">
        <f>IF(OR($B6="",$C6=""),"",$B6&amp;"|"&amp;$C6)</f>
        <v/>
      </c>
      <c r="B6" s="5" t="inlineStr"/>
      <c r="C6" s="5" t="inlineStr"/>
      <c r="D6" s="5" t="inlineStr"/>
      <c r="E6" s="30" t="inlineStr"/>
    </row>
    <row r="7">
      <c r="A7" s="9">
        <f>IF(OR($B7="",$C7=""),"",$B7&amp;"|"&amp;$C7)</f>
        <v/>
      </c>
      <c r="B7" s="5" t="inlineStr"/>
      <c r="C7" s="5" t="inlineStr"/>
      <c r="D7" s="5" t="inlineStr"/>
      <c r="E7" s="30" t="inlineStr"/>
    </row>
    <row r="8">
      <c r="A8" s="9">
        <f>IF(OR($B8="",$C8=""),"",$B8&amp;"|"&amp;$C8)</f>
        <v/>
      </c>
      <c r="B8" s="5" t="inlineStr"/>
      <c r="C8" s="5" t="inlineStr"/>
      <c r="D8" s="5" t="inlineStr"/>
      <c r="E8" s="30" t="inlineStr"/>
    </row>
    <row r="9">
      <c r="A9" s="9">
        <f>IF(OR($B9="",$C9=""),"",$B9&amp;"|"&amp;$C9)</f>
        <v/>
      </c>
      <c r="B9" s="5" t="inlineStr"/>
      <c r="C9" s="5" t="inlineStr"/>
      <c r="D9" s="5" t="inlineStr"/>
      <c r="E9" s="30" t="inlineStr"/>
    </row>
    <row r="10">
      <c r="A10" s="9">
        <f>IF(OR($B10="",$C10=""),"",$B10&amp;"|"&amp;$C10)</f>
        <v/>
      </c>
      <c r="B10" s="5" t="inlineStr"/>
      <c r="C10" s="5" t="inlineStr"/>
      <c r="D10" s="5" t="inlineStr"/>
      <c r="E10" s="30" t="inlineStr"/>
    </row>
    <row r="11">
      <c r="A11" s="9">
        <f>IF(OR($B11="",$C11=""),"",$B11&amp;"|"&amp;$C11)</f>
        <v/>
      </c>
      <c r="B11" s="5" t="inlineStr"/>
      <c r="C11" s="5" t="inlineStr"/>
      <c r="D11" s="5" t="inlineStr"/>
      <c r="E11" s="30" t="inlineStr"/>
    </row>
    <row r="12">
      <c r="A12" s="9">
        <f>IF(OR($B12="",$C12=""),"",$B12&amp;"|"&amp;$C12)</f>
        <v/>
      </c>
      <c r="B12" s="5" t="inlineStr"/>
      <c r="C12" s="5" t="inlineStr"/>
      <c r="D12" s="5" t="inlineStr"/>
      <c r="E12" s="30" t="inlineStr"/>
    </row>
    <row r="13">
      <c r="A13" s="9">
        <f>IF(OR($B13="",$C13=""),"",$B13&amp;"|"&amp;$C13)</f>
        <v/>
      </c>
      <c r="B13" s="5" t="inlineStr"/>
      <c r="C13" s="5" t="inlineStr"/>
      <c r="D13" s="5" t="inlineStr"/>
      <c r="E13" s="30" t="inlineStr"/>
    </row>
    <row r="14">
      <c r="A14" s="9">
        <f>IF(OR($B14="",$C14=""),"",$B14&amp;"|"&amp;$C14)</f>
        <v/>
      </c>
      <c r="B14" s="5" t="inlineStr"/>
      <c r="C14" s="5" t="inlineStr"/>
      <c r="D14" s="5" t="inlineStr"/>
      <c r="E14" s="30" t="inlineStr"/>
    </row>
    <row r="15">
      <c r="A15" s="9">
        <f>IF(OR($B15="",$C15=""),"",$B15&amp;"|"&amp;$C15)</f>
        <v/>
      </c>
      <c r="B15" s="5" t="inlineStr"/>
      <c r="C15" s="5" t="inlineStr"/>
      <c r="D15" s="5" t="inlineStr"/>
      <c r="E15" s="30" t="inlineStr"/>
    </row>
    <row r="16">
      <c r="A16" s="9">
        <f>IF(OR($B16="",$C16=""),"",$B16&amp;"|"&amp;$C16)</f>
        <v/>
      </c>
      <c r="B16" s="5" t="inlineStr"/>
      <c r="C16" s="5" t="inlineStr"/>
      <c r="D16" s="5" t="inlineStr"/>
      <c r="E16" s="30" t="inlineStr"/>
    </row>
    <row r="17">
      <c r="A17" s="9">
        <f>IF(OR($B17="",$C17=""),"",$B17&amp;"|"&amp;$C17)</f>
        <v/>
      </c>
      <c r="B17" s="5" t="inlineStr"/>
      <c r="C17" s="5" t="inlineStr"/>
      <c r="D17" s="5" t="inlineStr"/>
      <c r="E17" s="30" t="inlineStr"/>
    </row>
    <row r="18">
      <c r="A18" s="9">
        <f>IF(OR($B18="",$C18=""),"",$B18&amp;"|"&amp;$C18)</f>
        <v/>
      </c>
      <c r="B18" s="5" t="inlineStr"/>
      <c r="C18" s="5" t="inlineStr"/>
      <c r="D18" s="5" t="inlineStr"/>
      <c r="E18" s="30" t="inlineStr"/>
    </row>
    <row r="19">
      <c r="A19" s="9">
        <f>IF(OR($B19="",$C19=""),"",$B19&amp;"|"&amp;$C19)</f>
        <v/>
      </c>
      <c r="B19" s="5" t="inlineStr"/>
      <c r="C19" s="5" t="inlineStr"/>
      <c r="D19" s="5" t="inlineStr"/>
      <c r="E19" s="30" t="inlineStr"/>
    </row>
    <row r="20">
      <c r="A20" s="9">
        <f>IF(OR($B20="",$C20=""),"",$B20&amp;"|"&amp;$C20)</f>
        <v/>
      </c>
      <c r="B20" s="5" t="inlineStr"/>
      <c r="C20" s="5" t="inlineStr"/>
      <c r="D20" s="5" t="inlineStr"/>
      <c r="E20" s="30" t="inlineStr"/>
    </row>
    <row r="21">
      <c r="A21" s="9">
        <f>IF(OR($B21="",$C21=""),"",$B21&amp;"|"&amp;$C21)</f>
        <v/>
      </c>
      <c r="B21" s="5" t="inlineStr"/>
      <c r="C21" s="5" t="inlineStr"/>
      <c r="D21" s="5" t="inlineStr"/>
      <c r="E21" s="30" t="inlineStr"/>
    </row>
    <row r="22">
      <c r="A22" s="9">
        <f>IF(OR($B22="",$C22=""),"",$B22&amp;"|"&amp;$C22)</f>
        <v/>
      </c>
      <c r="B22" s="5" t="inlineStr"/>
      <c r="C22" s="5" t="inlineStr"/>
      <c r="D22" s="5" t="inlineStr"/>
      <c r="E22" s="30" t="inlineStr"/>
    </row>
    <row r="23">
      <c r="A23" s="9">
        <f>IF(OR($B23="",$C23=""),"",$B23&amp;"|"&amp;$C23)</f>
        <v/>
      </c>
      <c r="B23" s="5" t="inlineStr"/>
      <c r="C23" s="5" t="inlineStr"/>
      <c r="D23" s="5" t="inlineStr"/>
      <c r="E23" s="30" t="inlineStr"/>
    </row>
    <row r="24">
      <c r="A24" s="9">
        <f>IF(OR($B24="",$C24=""),"",$B24&amp;"|"&amp;$C24)</f>
        <v/>
      </c>
      <c r="B24" s="5" t="inlineStr"/>
      <c r="C24" s="5" t="inlineStr"/>
      <c r="D24" s="5" t="inlineStr"/>
      <c r="E24" s="30" t="inlineStr"/>
    </row>
    <row r="25">
      <c r="A25" s="9">
        <f>IF(OR($B25="",$C25=""),"",$B25&amp;"|"&amp;$C25)</f>
        <v/>
      </c>
      <c r="B25" s="5" t="inlineStr"/>
      <c r="C25" s="5" t="inlineStr"/>
      <c r="D25" s="5" t="inlineStr"/>
      <c r="E25" s="30" t="inlineStr"/>
    </row>
    <row r="26">
      <c r="A26" s="9">
        <f>IF(OR($B26="",$C26=""),"",$B26&amp;"|"&amp;$C26)</f>
        <v/>
      </c>
      <c r="B26" s="5" t="inlineStr"/>
      <c r="C26" s="5" t="inlineStr"/>
      <c r="D26" s="5" t="inlineStr"/>
      <c r="E26" s="30" t="inlineStr"/>
    </row>
    <row r="27">
      <c r="A27" s="9">
        <f>IF(OR($B27="",$C27=""),"",$B27&amp;"|"&amp;$C27)</f>
        <v/>
      </c>
      <c r="B27" s="5" t="inlineStr"/>
      <c r="C27" s="5" t="inlineStr"/>
      <c r="D27" s="5" t="inlineStr"/>
      <c r="E27" s="30" t="inlineStr"/>
    </row>
    <row r="28">
      <c r="A28" s="9">
        <f>IF(OR($B28="",$C28=""),"",$B28&amp;"|"&amp;$C28)</f>
        <v/>
      </c>
      <c r="B28" s="5" t="inlineStr"/>
      <c r="C28" s="5" t="inlineStr"/>
      <c r="D28" s="5" t="inlineStr"/>
      <c r="E28" s="30" t="inlineStr"/>
    </row>
    <row r="29">
      <c r="A29" s="9">
        <f>IF(OR($B29="",$C29=""),"",$B29&amp;"|"&amp;$C29)</f>
        <v/>
      </c>
      <c r="B29" s="5" t="inlineStr"/>
      <c r="C29" s="5" t="inlineStr"/>
      <c r="D29" s="5" t="inlineStr"/>
      <c r="E29" s="30" t="inlineStr"/>
    </row>
    <row r="30">
      <c r="A30" s="9">
        <f>IF(OR($B30="",$C30=""),"",$B30&amp;"|"&amp;$C30)</f>
        <v/>
      </c>
      <c r="B30" s="5" t="inlineStr"/>
      <c r="C30" s="5" t="inlineStr"/>
      <c r="D30" s="5" t="inlineStr"/>
      <c r="E30" s="30" t="inlineStr"/>
    </row>
    <row r="31">
      <c r="A31" s="9">
        <f>IF(OR($B31="",$C31=""),"",$B31&amp;"|"&amp;$C31)</f>
        <v/>
      </c>
      <c r="B31" s="5" t="inlineStr"/>
      <c r="C31" s="5" t="inlineStr"/>
      <c r="D31" s="5" t="inlineStr"/>
      <c r="E31" s="30" t="inlineStr"/>
    </row>
    <row r="32">
      <c r="A32" s="9">
        <f>IF(OR($B32="",$C32=""),"",$B32&amp;"|"&amp;$C32)</f>
        <v/>
      </c>
      <c r="B32" s="5" t="inlineStr"/>
      <c r="C32" s="5" t="inlineStr"/>
      <c r="D32" s="5" t="inlineStr"/>
      <c r="E32" s="30" t="inlineStr"/>
    </row>
    <row r="33">
      <c r="A33" s="9">
        <f>IF(OR($B33="",$C33=""),"",$B33&amp;"|"&amp;$C33)</f>
        <v/>
      </c>
      <c r="B33" s="5" t="inlineStr"/>
      <c r="C33" s="5" t="inlineStr"/>
      <c r="D33" s="5" t="inlineStr"/>
      <c r="E33" s="30" t="inlineStr"/>
    </row>
    <row r="34">
      <c r="A34" s="9">
        <f>IF(OR($B34="",$C34=""),"",$B34&amp;"|"&amp;$C34)</f>
        <v/>
      </c>
      <c r="B34" s="5" t="inlineStr"/>
      <c r="C34" s="5" t="inlineStr"/>
      <c r="D34" s="5" t="inlineStr"/>
      <c r="E34" s="30" t="inlineStr"/>
    </row>
    <row r="35">
      <c r="A35" s="9">
        <f>IF(OR($B35="",$C35=""),"",$B35&amp;"|"&amp;$C35)</f>
        <v/>
      </c>
      <c r="B35" s="5" t="inlineStr"/>
      <c r="C35" s="5" t="inlineStr"/>
      <c r="D35" s="5" t="inlineStr"/>
      <c r="E35" s="30" t="inlineStr"/>
    </row>
    <row r="36">
      <c r="A36" s="9">
        <f>IF(OR($B36="",$C36=""),"",$B36&amp;"|"&amp;$C36)</f>
        <v/>
      </c>
      <c r="B36" s="5" t="inlineStr"/>
      <c r="C36" s="5" t="inlineStr"/>
      <c r="D36" s="5" t="inlineStr"/>
      <c r="E36" s="30" t="inlineStr"/>
    </row>
    <row r="37">
      <c r="A37" s="9">
        <f>IF(OR($B37="",$C37=""),"",$B37&amp;"|"&amp;$C37)</f>
        <v/>
      </c>
      <c r="B37" s="5" t="inlineStr"/>
      <c r="C37" s="5" t="inlineStr"/>
      <c r="D37" s="5" t="inlineStr"/>
      <c r="E37" s="30" t="inlineStr"/>
    </row>
    <row r="38">
      <c r="A38" s="9">
        <f>IF(OR($B38="",$C38=""),"",$B38&amp;"|"&amp;$C38)</f>
        <v/>
      </c>
      <c r="B38" s="5" t="inlineStr"/>
      <c r="C38" s="5" t="inlineStr"/>
      <c r="D38" s="5" t="inlineStr"/>
      <c r="E38" s="30" t="inlineStr"/>
    </row>
    <row r="39">
      <c r="A39" s="9">
        <f>IF(OR($B39="",$C39=""),"",$B39&amp;"|"&amp;$C39)</f>
        <v/>
      </c>
      <c r="B39" s="5" t="inlineStr"/>
      <c r="C39" s="5" t="inlineStr"/>
      <c r="D39" s="5" t="inlineStr"/>
      <c r="E39" s="30" t="inlineStr"/>
    </row>
    <row r="40">
      <c r="A40" s="9">
        <f>IF(OR($B40="",$C40=""),"",$B40&amp;"|"&amp;$C40)</f>
        <v/>
      </c>
      <c r="B40" s="5" t="inlineStr"/>
      <c r="C40" s="5" t="inlineStr"/>
      <c r="D40" s="5" t="inlineStr"/>
      <c r="E40" s="30" t="inlineStr"/>
    </row>
    <row r="41">
      <c r="A41" s="9">
        <f>IF(OR($B41="",$C41=""),"",$B41&amp;"|"&amp;$C41)</f>
        <v/>
      </c>
      <c r="B41" s="5" t="inlineStr"/>
      <c r="C41" s="5" t="inlineStr"/>
      <c r="D41" s="5" t="inlineStr"/>
      <c r="E41" s="30" t="inlineStr"/>
    </row>
    <row r="42">
      <c r="A42" s="9">
        <f>IF(OR($B42="",$C42=""),"",$B42&amp;"|"&amp;$C42)</f>
        <v/>
      </c>
      <c r="B42" s="5" t="inlineStr"/>
      <c r="C42" s="5" t="inlineStr"/>
      <c r="D42" s="5" t="inlineStr"/>
      <c r="E42" s="30" t="inlineStr"/>
    </row>
    <row r="43">
      <c r="A43" s="9">
        <f>IF(OR($B43="",$C43=""),"",$B43&amp;"|"&amp;$C43)</f>
        <v/>
      </c>
      <c r="B43" s="5" t="inlineStr"/>
      <c r="C43" s="5" t="inlineStr"/>
      <c r="D43" s="5" t="inlineStr"/>
      <c r="E43" s="30" t="inlineStr"/>
    </row>
    <row r="44">
      <c r="A44" s="9">
        <f>IF(OR($B44="",$C44=""),"",$B44&amp;"|"&amp;$C44)</f>
        <v/>
      </c>
      <c r="B44" s="5" t="inlineStr"/>
      <c r="C44" s="5" t="inlineStr"/>
      <c r="D44" s="5" t="inlineStr"/>
      <c r="E44" s="30" t="inlineStr"/>
    </row>
    <row r="45">
      <c r="A45" s="9">
        <f>IF(OR($B45="",$C45=""),"",$B45&amp;"|"&amp;$C45)</f>
        <v/>
      </c>
      <c r="B45" s="5" t="inlineStr"/>
      <c r="C45" s="5" t="inlineStr"/>
      <c r="D45" s="5" t="inlineStr"/>
      <c r="E45" s="30" t="inlineStr"/>
    </row>
    <row r="46">
      <c r="A46" s="9">
        <f>IF(OR($B46="",$C46=""),"",$B46&amp;"|"&amp;$C46)</f>
        <v/>
      </c>
      <c r="B46" s="5" t="inlineStr"/>
      <c r="C46" s="5" t="inlineStr"/>
      <c r="D46" s="5" t="inlineStr"/>
      <c r="E46" s="30" t="inlineStr"/>
    </row>
    <row r="47">
      <c r="A47" s="9">
        <f>IF(OR($B47="",$C47=""),"",$B47&amp;"|"&amp;$C47)</f>
        <v/>
      </c>
      <c r="B47" s="5" t="inlineStr"/>
      <c r="C47" s="5" t="inlineStr"/>
      <c r="D47" s="5" t="inlineStr"/>
      <c r="E47" s="30" t="inlineStr"/>
    </row>
    <row r="48">
      <c r="A48" s="9">
        <f>IF(OR($B48="",$C48=""),"",$B48&amp;"|"&amp;$C48)</f>
        <v/>
      </c>
      <c r="B48" s="5" t="inlineStr"/>
      <c r="C48" s="5" t="inlineStr"/>
      <c r="D48" s="5" t="inlineStr"/>
      <c r="E48" s="30" t="inlineStr"/>
    </row>
    <row r="49">
      <c r="A49" s="9">
        <f>IF(OR($B49="",$C49=""),"",$B49&amp;"|"&amp;$C49)</f>
        <v/>
      </c>
      <c r="B49" s="5" t="inlineStr"/>
      <c r="C49" s="5" t="inlineStr"/>
      <c r="D49" s="5" t="inlineStr"/>
      <c r="E49" s="30" t="inlineStr"/>
    </row>
    <row r="50">
      <c r="A50" s="9">
        <f>IF(OR($B50="",$C50=""),"",$B50&amp;"|"&amp;$C50)</f>
        <v/>
      </c>
      <c r="B50" s="5" t="inlineStr"/>
      <c r="C50" s="5" t="inlineStr"/>
      <c r="D50" s="5" t="inlineStr"/>
      <c r="E50" s="30" t="inlineStr"/>
    </row>
    <row r="51">
      <c r="A51" s="9">
        <f>IF(OR($B51="",$C51=""),"",$B51&amp;"|"&amp;$C51)</f>
        <v/>
      </c>
      <c r="B51" s="5" t="inlineStr"/>
      <c r="C51" s="5" t="inlineStr"/>
      <c r="D51" s="5" t="inlineStr"/>
      <c r="E51" s="30" t="inlineStr"/>
    </row>
    <row r="52">
      <c r="A52" s="9">
        <f>IF(OR($B52="",$C52=""),"",$B52&amp;"|"&amp;$C52)</f>
        <v/>
      </c>
      <c r="B52" s="5" t="inlineStr"/>
      <c r="C52" s="5" t="inlineStr"/>
      <c r="D52" s="5" t="inlineStr"/>
      <c r="E52" s="30" t="inlineStr"/>
    </row>
    <row r="53">
      <c r="A53" s="9">
        <f>IF(OR($B53="",$C53=""),"",$B53&amp;"|"&amp;$C53)</f>
        <v/>
      </c>
      <c r="B53" s="5" t="inlineStr"/>
      <c r="C53" s="5" t="inlineStr"/>
      <c r="D53" s="5" t="inlineStr"/>
      <c r="E53" s="30" t="inlineStr"/>
    </row>
    <row r="54">
      <c r="A54" s="9">
        <f>IF(OR($B54="",$C54=""),"",$B54&amp;"|"&amp;$C54)</f>
        <v/>
      </c>
      <c r="B54" s="5" t="inlineStr"/>
      <c r="C54" s="5" t="inlineStr"/>
      <c r="D54" s="5" t="inlineStr"/>
      <c r="E54" s="30" t="inlineStr"/>
    </row>
    <row r="55">
      <c r="A55" s="9">
        <f>IF(OR($B55="",$C55=""),"",$B55&amp;"|"&amp;$C55)</f>
        <v/>
      </c>
      <c r="B55" s="5" t="inlineStr"/>
      <c r="C55" s="5" t="inlineStr"/>
      <c r="D55" s="5" t="inlineStr"/>
      <c r="E55" s="30" t="inlineStr"/>
    </row>
    <row r="56">
      <c r="A56" s="9">
        <f>IF(OR($B56="",$C56=""),"",$B56&amp;"|"&amp;$C56)</f>
        <v/>
      </c>
      <c r="B56" s="5" t="inlineStr"/>
      <c r="C56" s="5" t="inlineStr"/>
      <c r="D56" s="5" t="inlineStr"/>
      <c r="E56" s="30" t="inlineStr"/>
    </row>
    <row r="57">
      <c r="A57" s="9">
        <f>IF(OR($B57="",$C57=""),"",$B57&amp;"|"&amp;$C57)</f>
        <v/>
      </c>
      <c r="B57" s="5" t="inlineStr"/>
      <c r="C57" s="5" t="inlineStr"/>
      <c r="D57" s="5" t="inlineStr"/>
      <c r="E57" s="30" t="inlineStr"/>
    </row>
    <row r="58">
      <c r="A58" s="9">
        <f>IF(OR($B58="",$C58=""),"",$B58&amp;"|"&amp;$C58)</f>
        <v/>
      </c>
      <c r="B58" s="5" t="inlineStr"/>
      <c r="C58" s="5" t="inlineStr"/>
      <c r="D58" s="5" t="inlineStr"/>
      <c r="E58" s="30" t="inlineStr"/>
    </row>
    <row r="59">
      <c r="A59" s="9">
        <f>IF(OR($B59="",$C59=""),"",$B59&amp;"|"&amp;$C59)</f>
        <v/>
      </c>
      <c r="B59" s="5" t="inlineStr"/>
      <c r="C59" s="5" t="inlineStr"/>
      <c r="D59" s="5" t="inlineStr"/>
      <c r="E59" s="30" t="inlineStr"/>
    </row>
    <row r="60">
      <c r="A60" s="9">
        <f>IF(OR($B60="",$C60=""),"",$B60&amp;"|"&amp;$C60)</f>
        <v/>
      </c>
      <c r="B60" s="5" t="inlineStr"/>
      <c r="C60" s="5" t="inlineStr"/>
      <c r="D60" s="5" t="inlineStr"/>
      <c r="E60" s="30" t="inlineStr"/>
    </row>
    <row r="61">
      <c r="A61" s="9">
        <f>IF(OR($B61="",$C61=""),"",$B61&amp;"|"&amp;$C61)</f>
        <v/>
      </c>
      <c r="B61" s="5" t="inlineStr"/>
      <c r="C61" s="5" t="inlineStr"/>
      <c r="D61" s="5" t="inlineStr"/>
      <c r="E61" s="30" t="inlineStr"/>
    </row>
    <row r="62">
      <c r="A62" s="9">
        <f>IF(OR($B62="",$C62=""),"",$B62&amp;"|"&amp;$C62)</f>
        <v/>
      </c>
      <c r="B62" s="5" t="inlineStr"/>
      <c r="C62" s="5" t="inlineStr"/>
      <c r="D62" s="5" t="inlineStr"/>
      <c r="E62" s="30" t="inlineStr"/>
    </row>
    <row r="63">
      <c r="A63" s="9">
        <f>IF(OR($B63="",$C63=""),"",$B63&amp;"|"&amp;$C63)</f>
        <v/>
      </c>
      <c r="B63" s="5" t="inlineStr"/>
      <c r="C63" s="5" t="inlineStr"/>
      <c r="D63" s="5" t="inlineStr"/>
      <c r="E63" s="30" t="inlineStr"/>
    </row>
    <row r="64">
      <c r="A64" s="9">
        <f>IF(OR($B64="",$C64=""),"",$B64&amp;"|"&amp;$C64)</f>
        <v/>
      </c>
      <c r="B64" s="5" t="inlineStr"/>
      <c r="C64" s="5" t="inlineStr"/>
      <c r="D64" s="5" t="inlineStr"/>
      <c r="E64" s="30" t="inlineStr"/>
    </row>
    <row r="65">
      <c r="A65" s="9">
        <f>IF(OR($B65="",$C65=""),"",$B65&amp;"|"&amp;$C65)</f>
        <v/>
      </c>
      <c r="B65" s="5" t="inlineStr"/>
      <c r="C65" s="5" t="inlineStr"/>
      <c r="D65" s="5" t="inlineStr"/>
      <c r="E65" s="30" t="inlineStr"/>
    </row>
    <row r="66">
      <c r="A66" s="9">
        <f>IF(OR($B66="",$C66=""),"",$B66&amp;"|"&amp;$C66)</f>
        <v/>
      </c>
      <c r="B66" s="5" t="inlineStr"/>
      <c r="C66" s="5" t="inlineStr"/>
      <c r="D66" s="5" t="inlineStr"/>
      <c r="E66" s="30" t="inlineStr"/>
    </row>
    <row r="67">
      <c r="A67" s="9">
        <f>IF(OR($B67="",$C67=""),"",$B67&amp;"|"&amp;$C67)</f>
        <v/>
      </c>
      <c r="B67" s="5" t="inlineStr"/>
      <c r="C67" s="5" t="inlineStr"/>
      <c r="D67" s="5" t="inlineStr"/>
      <c r="E67" s="30" t="inlineStr"/>
    </row>
    <row r="68">
      <c r="A68" s="9">
        <f>IF(OR($B68="",$C68=""),"",$B68&amp;"|"&amp;$C68)</f>
        <v/>
      </c>
      <c r="B68" s="5" t="inlineStr"/>
      <c r="C68" s="5" t="inlineStr"/>
      <c r="D68" s="5" t="inlineStr"/>
      <c r="E68" s="30" t="inlineStr"/>
    </row>
    <row r="69">
      <c r="A69" s="9">
        <f>IF(OR($B69="",$C69=""),"",$B69&amp;"|"&amp;$C69)</f>
        <v/>
      </c>
      <c r="B69" s="5" t="inlineStr"/>
      <c r="C69" s="5" t="inlineStr"/>
      <c r="D69" s="5" t="inlineStr"/>
      <c r="E69" s="30" t="inlineStr"/>
    </row>
    <row r="70">
      <c r="A70" s="9">
        <f>IF(OR($B70="",$C70=""),"",$B70&amp;"|"&amp;$C70)</f>
        <v/>
      </c>
      <c r="B70" s="5" t="inlineStr"/>
      <c r="C70" s="5" t="inlineStr"/>
      <c r="D70" s="5" t="inlineStr"/>
      <c r="E70" s="30" t="inlineStr"/>
    </row>
    <row r="71">
      <c r="A71" s="9">
        <f>IF(OR($B71="",$C71=""),"",$B71&amp;"|"&amp;$C71)</f>
        <v/>
      </c>
      <c r="B71" s="5" t="inlineStr"/>
      <c r="C71" s="5" t="inlineStr"/>
      <c r="D71" s="5" t="inlineStr"/>
      <c r="E71" s="30" t="inlineStr"/>
    </row>
    <row r="72">
      <c r="A72" s="9">
        <f>IF(OR($B72="",$C72=""),"",$B72&amp;"|"&amp;$C72)</f>
        <v/>
      </c>
      <c r="B72" s="5" t="inlineStr"/>
      <c r="C72" s="5" t="inlineStr"/>
      <c r="D72" s="5" t="inlineStr"/>
      <c r="E72" s="30" t="inlineStr"/>
    </row>
    <row r="73">
      <c r="A73" s="9">
        <f>IF(OR($B73="",$C73=""),"",$B73&amp;"|"&amp;$C73)</f>
        <v/>
      </c>
      <c r="B73" s="5" t="inlineStr"/>
      <c r="C73" s="5" t="inlineStr"/>
      <c r="D73" s="5" t="inlineStr"/>
      <c r="E73" s="30" t="inlineStr"/>
    </row>
    <row r="74">
      <c r="A74" s="9">
        <f>IF(OR($B74="",$C74=""),"",$B74&amp;"|"&amp;$C74)</f>
        <v/>
      </c>
      <c r="B74" s="5" t="inlineStr"/>
      <c r="C74" s="5" t="inlineStr"/>
      <c r="D74" s="5" t="inlineStr"/>
      <c r="E74" s="30" t="inlineStr"/>
    </row>
    <row r="75">
      <c r="A75" s="9">
        <f>IF(OR($B75="",$C75=""),"",$B75&amp;"|"&amp;$C75)</f>
        <v/>
      </c>
      <c r="B75" s="5" t="inlineStr"/>
      <c r="C75" s="5" t="inlineStr"/>
      <c r="D75" s="5" t="inlineStr"/>
      <c r="E75" s="30" t="inlineStr"/>
    </row>
    <row r="76">
      <c r="A76" s="9">
        <f>IF(OR($B76="",$C76=""),"",$B76&amp;"|"&amp;$C76)</f>
        <v/>
      </c>
      <c r="B76" s="5" t="inlineStr"/>
      <c r="C76" s="5" t="inlineStr"/>
      <c r="D76" s="5" t="inlineStr"/>
      <c r="E76" s="30" t="inlineStr"/>
    </row>
    <row r="77">
      <c r="A77" s="9">
        <f>IF(OR($B77="",$C77=""),"",$B77&amp;"|"&amp;$C77)</f>
        <v/>
      </c>
      <c r="B77" s="5" t="inlineStr"/>
      <c r="C77" s="5" t="inlineStr"/>
      <c r="D77" s="5" t="inlineStr"/>
      <c r="E77" s="30" t="inlineStr"/>
    </row>
    <row r="78">
      <c r="A78" s="9">
        <f>IF(OR($B78="",$C78=""),"",$B78&amp;"|"&amp;$C78)</f>
        <v/>
      </c>
      <c r="B78" s="5" t="inlineStr"/>
      <c r="C78" s="5" t="inlineStr"/>
      <c r="D78" s="5" t="inlineStr"/>
      <c r="E78" s="30" t="inlineStr"/>
    </row>
    <row r="79">
      <c r="A79" s="9">
        <f>IF(OR($B79="",$C79=""),"",$B79&amp;"|"&amp;$C79)</f>
        <v/>
      </c>
      <c r="B79" s="5" t="inlineStr"/>
      <c r="C79" s="5" t="inlineStr"/>
      <c r="D79" s="5" t="inlineStr"/>
      <c r="E79" s="30" t="inlineStr"/>
    </row>
    <row r="80">
      <c r="A80" s="9">
        <f>IF(OR($B80="",$C80=""),"",$B80&amp;"|"&amp;$C80)</f>
        <v/>
      </c>
      <c r="B80" s="5" t="inlineStr"/>
      <c r="C80" s="5" t="inlineStr"/>
      <c r="D80" s="5" t="inlineStr"/>
      <c r="E80" s="30" t="inlineStr"/>
    </row>
    <row r="81">
      <c r="A81" s="9">
        <f>IF(OR($B81="",$C81=""),"",$B81&amp;"|"&amp;$C81)</f>
        <v/>
      </c>
      <c r="B81" s="5" t="inlineStr"/>
      <c r="C81" s="5" t="inlineStr"/>
      <c r="D81" s="5" t="inlineStr"/>
      <c r="E81" s="30" t="inlineStr"/>
    </row>
    <row r="82">
      <c r="A82" s="9">
        <f>IF(OR($B82="",$C82=""),"",$B82&amp;"|"&amp;$C82)</f>
        <v/>
      </c>
      <c r="B82" s="5" t="inlineStr"/>
      <c r="C82" s="5" t="inlineStr"/>
      <c r="D82" s="5" t="inlineStr"/>
      <c r="E82" s="30" t="inlineStr"/>
    </row>
    <row r="83">
      <c r="A83" s="9">
        <f>IF(OR($B83="",$C83=""),"",$B83&amp;"|"&amp;$C83)</f>
        <v/>
      </c>
      <c r="B83" s="5" t="inlineStr"/>
      <c r="C83" s="5" t="inlineStr"/>
      <c r="D83" s="5" t="inlineStr"/>
      <c r="E83" s="30" t="inlineStr"/>
    </row>
    <row r="84">
      <c r="A84" s="9">
        <f>IF(OR($B84="",$C84=""),"",$B84&amp;"|"&amp;$C84)</f>
        <v/>
      </c>
      <c r="B84" s="5" t="inlineStr"/>
      <c r="C84" s="5" t="inlineStr"/>
      <c r="D84" s="5" t="inlineStr"/>
      <c r="E84" s="30" t="inlineStr"/>
    </row>
    <row r="85">
      <c r="A85" s="9">
        <f>IF(OR($B85="",$C85=""),"",$B85&amp;"|"&amp;$C85)</f>
        <v/>
      </c>
      <c r="B85" s="5" t="inlineStr"/>
      <c r="C85" s="5" t="inlineStr"/>
      <c r="D85" s="5" t="inlineStr"/>
      <c r="E85" s="30" t="inlineStr"/>
    </row>
    <row r="86">
      <c r="A86" s="9">
        <f>IF(OR($B86="",$C86=""),"",$B86&amp;"|"&amp;$C86)</f>
        <v/>
      </c>
      <c r="B86" s="5" t="inlineStr"/>
      <c r="C86" s="5" t="inlineStr"/>
      <c r="D86" s="5" t="inlineStr"/>
      <c r="E86" s="30" t="inlineStr"/>
    </row>
    <row r="87">
      <c r="A87" s="9">
        <f>IF(OR($B87="",$C87=""),"",$B87&amp;"|"&amp;$C87)</f>
        <v/>
      </c>
      <c r="B87" s="5" t="inlineStr"/>
      <c r="C87" s="5" t="inlineStr"/>
      <c r="D87" s="5" t="inlineStr"/>
      <c r="E87" s="30" t="inlineStr"/>
    </row>
    <row r="88">
      <c r="A88" s="9">
        <f>IF(OR($B88="",$C88=""),"",$B88&amp;"|"&amp;$C88)</f>
        <v/>
      </c>
      <c r="B88" s="5" t="inlineStr"/>
      <c r="C88" s="5" t="inlineStr"/>
      <c r="D88" s="5" t="inlineStr"/>
      <c r="E88" s="30" t="inlineStr"/>
    </row>
    <row r="89">
      <c r="A89" s="9">
        <f>IF(OR($B89="",$C89=""),"",$B89&amp;"|"&amp;$C89)</f>
        <v/>
      </c>
      <c r="B89" s="5" t="inlineStr"/>
      <c r="C89" s="5" t="inlineStr"/>
      <c r="D89" s="5" t="inlineStr"/>
      <c r="E89" s="30" t="inlineStr"/>
    </row>
    <row r="90">
      <c r="A90" s="9">
        <f>IF(OR($B90="",$C90=""),"",$B90&amp;"|"&amp;$C90)</f>
        <v/>
      </c>
      <c r="B90" s="5" t="inlineStr"/>
      <c r="C90" s="5" t="inlineStr"/>
      <c r="D90" s="5" t="inlineStr"/>
      <c r="E90" s="30" t="inlineStr"/>
    </row>
    <row r="91">
      <c r="A91" s="9">
        <f>IF(OR($B91="",$C91=""),"",$B91&amp;"|"&amp;$C91)</f>
        <v/>
      </c>
      <c r="B91" s="5" t="inlineStr"/>
      <c r="C91" s="5" t="inlineStr"/>
      <c r="D91" s="5" t="inlineStr"/>
      <c r="E91" s="30" t="inlineStr"/>
    </row>
    <row r="92">
      <c r="A92" s="9">
        <f>IF(OR($B92="",$C92=""),"",$B92&amp;"|"&amp;$C92)</f>
        <v/>
      </c>
      <c r="B92" s="5" t="inlineStr"/>
      <c r="C92" s="5" t="inlineStr"/>
      <c r="D92" s="5" t="inlineStr"/>
      <c r="E92" s="30" t="inlineStr"/>
    </row>
    <row r="93">
      <c r="A93" s="9">
        <f>IF(OR($B93="",$C93=""),"",$B93&amp;"|"&amp;$C93)</f>
        <v/>
      </c>
      <c r="B93" s="5" t="inlineStr"/>
      <c r="C93" s="5" t="inlineStr"/>
      <c r="D93" s="5" t="inlineStr"/>
      <c r="E93" s="30" t="inlineStr"/>
    </row>
    <row r="94">
      <c r="A94" s="9">
        <f>IF(OR($B94="",$C94=""),"",$B94&amp;"|"&amp;$C94)</f>
        <v/>
      </c>
      <c r="B94" s="5" t="inlineStr"/>
      <c r="C94" s="5" t="inlineStr"/>
      <c r="D94" s="5" t="inlineStr"/>
      <c r="E94" s="30" t="inlineStr"/>
    </row>
    <row r="95">
      <c r="A95" s="9">
        <f>IF(OR($B95="",$C95=""),"",$B95&amp;"|"&amp;$C95)</f>
        <v/>
      </c>
      <c r="B95" s="5" t="inlineStr"/>
      <c r="C95" s="5" t="inlineStr"/>
      <c r="D95" s="5" t="inlineStr"/>
      <c r="E95" s="30" t="inlineStr"/>
    </row>
    <row r="96">
      <c r="A96" s="9">
        <f>IF(OR($B96="",$C96=""),"",$B96&amp;"|"&amp;$C96)</f>
        <v/>
      </c>
      <c r="B96" s="5" t="inlineStr"/>
      <c r="C96" s="5" t="inlineStr"/>
      <c r="D96" s="5" t="inlineStr"/>
      <c r="E96" s="30" t="inlineStr"/>
    </row>
    <row r="97">
      <c r="A97" s="9">
        <f>IF(OR($B97="",$C97=""),"",$B97&amp;"|"&amp;$C97)</f>
        <v/>
      </c>
      <c r="B97" s="5" t="inlineStr"/>
      <c r="C97" s="5" t="inlineStr"/>
      <c r="D97" s="5" t="inlineStr"/>
      <c r="E97" s="30" t="inlineStr"/>
    </row>
    <row r="98">
      <c r="A98" s="9">
        <f>IF(OR($B98="",$C98=""),"",$B98&amp;"|"&amp;$C98)</f>
        <v/>
      </c>
      <c r="B98" s="5" t="inlineStr"/>
      <c r="C98" s="5" t="inlineStr"/>
      <c r="D98" s="5" t="inlineStr"/>
      <c r="E98" s="30" t="inlineStr"/>
    </row>
    <row r="99">
      <c r="A99" s="9">
        <f>IF(OR($B99="",$C99=""),"",$B99&amp;"|"&amp;$C99)</f>
        <v/>
      </c>
      <c r="B99" s="5" t="inlineStr"/>
      <c r="C99" s="5" t="inlineStr"/>
      <c r="D99" s="5" t="inlineStr"/>
      <c r="E99" s="30" t="inlineStr"/>
    </row>
    <row r="100">
      <c r="A100" s="9">
        <f>IF(OR($B100="",$C100=""),"",$B100&amp;"|"&amp;$C100)</f>
        <v/>
      </c>
      <c r="B100" s="5" t="inlineStr"/>
      <c r="C100" s="5" t="inlineStr"/>
      <c r="D100" s="5" t="inlineStr"/>
      <c r="E100" s="30" t="inlineStr"/>
    </row>
    <row r="101">
      <c r="A101" s="9">
        <f>IF(OR($B101="",$C101=""),"",$B101&amp;"|"&amp;$C101)</f>
        <v/>
      </c>
      <c r="B101" s="5" t="inlineStr"/>
      <c r="C101" s="5" t="inlineStr"/>
      <c r="D101" s="5" t="inlineStr"/>
      <c r="E101" s="30" t="inlineStr"/>
    </row>
    <row r="102">
      <c r="A102" s="9">
        <f>IF(OR($B102="",$C102=""),"",$B102&amp;"|"&amp;$C102)</f>
        <v/>
      </c>
      <c r="B102" s="5" t="inlineStr"/>
      <c r="C102" s="5" t="inlineStr"/>
      <c r="D102" s="5" t="inlineStr"/>
      <c r="E102" s="30" t="inlineStr"/>
    </row>
    <row r="103">
      <c r="A103" s="9">
        <f>IF(OR($B103="",$C103=""),"",$B103&amp;"|"&amp;$C103)</f>
        <v/>
      </c>
      <c r="B103" s="5" t="inlineStr"/>
      <c r="C103" s="5" t="inlineStr"/>
      <c r="D103" s="5" t="inlineStr"/>
      <c r="E103" s="30" t="inlineStr"/>
    </row>
    <row r="104">
      <c r="A104" s="9">
        <f>IF(OR($B104="",$C104=""),"",$B104&amp;"|"&amp;$C104)</f>
        <v/>
      </c>
      <c r="B104" s="5" t="inlineStr"/>
      <c r="C104" s="5" t="inlineStr"/>
      <c r="D104" s="5" t="inlineStr"/>
      <c r="E104" s="30" t="inlineStr"/>
    </row>
    <row r="105">
      <c r="A105" s="9">
        <f>IF(OR($B105="",$C105=""),"",$B105&amp;"|"&amp;$C105)</f>
        <v/>
      </c>
      <c r="B105" s="5" t="inlineStr"/>
      <c r="C105" s="5" t="inlineStr"/>
      <c r="D105" s="5" t="inlineStr"/>
      <c r="E105" s="30" t="inlineStr"/>
    </row>
    <row r="106">
      <c r="A106" s="9">
        <f>IF(OR($B106="",$C106=""),"",$B106&amp;"|"&amp;$C106)</f>
        <v/>
      </c>
      <c r="B106" s="5" t="inlineStr"/>
      <c r="C106" s="5" t="inlineStr"/>
      <c r="D106" s="5" t="inlineStr"/>
      <c r="E106" s="30" t="inlineStr"/>
    </row>
    <row r="107">
      <c r="A107" s="9">
        <f>IF(OR($B107="",$C107=""),"",$B107&amp;"|"&amp;$C107)</f>
        <v/>
      </c>
      <c r="B107" s="5" t="inlineStr"/>
      <c r="C107" s="5" t="inlineStr"/>
      <c r="D107" s="5" t="inlineStr"/>
      <c r="E107" s="30" t="inlineStr"/>
    </row>
    <row r="108">
      <c r="A108" s="9">
        <f>IF(OR($B108="",$C108=""),"",$B108&amp;"|"&amp;$C108)</f>
        <v/>
      </c>
      <c r="B108" s="5" t="inlineStr"/>
      <c r="C108" s="5" t="inlineStr"/>
      <c r="D108" s="5" t="inlineStr"/>
      <c r="E108" s="30" t="inlineStr"/>
    </row>
    <row r="109">
      <c r="A109" s="9">
        <f>IF(OR($B109="",$C109=""),"",$B109&amp;"|"&amp;$C109)</f>
        <v/>
      </c>
      <c r="B109" s="5" t="inlineStr"/>
      <c r="C109" s="5" t="inlineStr"/>
      <c r="D109" s="5" t="inlineStr"/>
      <c r="E109" s="30" t="inlineStr"/>
    </row>
    <row r="110">
      <c r="A110" s="9">
        <f>IF(OR($B110="",$C110=""),"",$B110&amp;"|"&amp;$C110)</f>
        <v/>
      </c>
      <c r="B110" s="5" t="inlineStr"/>
      <c r="C110" s="5" t="inlineStr"/>
      <c r="D110" s="5" t="inlineStr"/>
      <c r="E110" s="30" t="inlineStr"/>
    </row>
    <row r="111">
      <c r="A111" s="9">
        <f>IF(OR($B111="",$C111=""),"",$B111&amp;"|"&amp;$C111)</f>
        <v/>
      </c>
      <c r="B111" s="5" t="inlineStr"/>
      <c r="C111" s="5" t="inlineStr"/>
      <c r="D111" s="5" t="inlineStr"/>
      <c r="E111" s="30" t="inlineStr"/>
    </row>
    <row r="112">
      <c r="A112" s="9">
        <f>IF(OR($B112="",$C112=""),"",$B112&amp;"|"&amp;$C112)</f>
        <v/>
      </c>
      <c r="B112" s="5" t="inlineStr"/>
      <c r="C112" s="5" t="inlineStr"/>
      <c r="D112" s="5" t="inlineStr"/>
      <c r="E112" s="30" t="inlineStr"/>
    </row>
    <row r="113">
      <c r="A113" s="9">
        <f>IF(OR($B113="",$C113=""),"",$B113&amp;"|"&amp;$C113)</f>
        <v/>
      </c>
      <c r="B113" s="5" t="inlineStr"/>
      <c r="C113" s="5" t="inlineStr"/>
      <c r="D113" s="5" t="inlineStr"/>
      <c r="E113" s="30" t="inlineStr"/>
    </row>
    <row r="114">
      <c r="A114" s="9">
        <f>IF(OR($B114="",$C114=""),"",$B114&amp;"|"&amp;$C114)</f>
        <v/>
      </c>
      <c r="B114" s="5" t="inlineStr"/>
      <c r="C114" s="5" t="inlineStr"/>
      <c r="D114" s="5" t="inlineStr"/>
      <c r="E114" s="30" t="inlineStr"/>
    </row>
    <row r="115">
      <c r="A115" s="9">
        <f>IF(OR($B115="",$C115=""),"",$B115&amp;"|"&amp;$C115)</f>
        <v/>
      </c>
      <c r="B115" s="5" t="inlineStr"/>
      <c r="C115" s="5" t="inlineStr"/>
      <c r="D115" s="5" t="inlineStr"/>
      <c r="E115" s="30" t="inlineStr"/>
    </row>
    <row r="116">
      <c r="A116" s="9">
        <f>IF(OR($B116="",$C116=""),"",$B116&amp;"|"&amp;$C116)</f>
        <v/>
      </c>
      <c r="B116" s="5" t="inlineStr"/>
      <c r="C116" s="5" t="inlineStr"/>
      <c r="D116" s="5" t="inlineStr"/>
      <c r="E116" s="30" t="inlineStr"/>
    </row>
    <row r="117">
      <c r="A117" s="9">
        <f>IF(OR($B117="",$C117=""),"",$B117&amp;"|"&amp;$C117)</f>
        <v/>
      </c>
      <c r="B117" s="5" t="inlineStr"/>
      <c r="C117" s="5" t="inlineStr"/>
      <c r="D117" s="5" t="inlineStr"/>
      <c r="E117" s="30" t="inlineStr"/>
    </row>
    <row r="118">
      <c r="A118" s="9">
        <f>IF(OR($B118="",$C118=""),"",$B118&amp;"|"&amp;$C118)</f>
        <v/>
      </c>
      <c r="B118" s="5" t="inlineStr"/>
      <c r="C118" s="5" t="inlineStr"/>
      <c r="D118" s="5" t="inlineStr"/>
      <c r="E118" s="30" t="inlineStr"/>
    </row>
    <row r="119">
      <c r="A119" s="9">
        <f>IF(OR($B119="",$C119=""),"",$B119&amp;"|"&amp;$C119)</f>
        <v/>
      </c>
      <c r="B119" s="5" t="inlineStr"/>
      <c r="C119" s="5" t="inlineStr"/>
      <c r="D119" s="5" t="inlineStr"/>
      <c r="E119" s="30" t="inlineStr"/>
    </row>
    <row r="120">
      <c r="A120" s="9">
        <f>IF(OR($B120="",$C120=""),"",$B120&amp;"|"&amp;$C120)</f>
        <v/>
      </c>
      <c r="B120" s="5" t="inlineStr"/>
      <c r="C120" s="5" t="inlineStr"/>
      <c r="D120" s="5" t="inlineStr"/>
      <c r="E120" s="30" t="inlineStr"/>
    </row>
    <row r="121">
      <c r="A121" s="9">
        <f>IF(OR($B121="",$C121=""),"",$B121&amp;"|"&amp;$C121)</f>
        <v/>
      </c>
      <c r="B121" s="5" t="inlineStr"/>
      <c r="C121" s="5" t="inlineStr"/>
      <c r="D121" s="5" t="inlineStr"/>
      <c r="E121" s="30" t="inlineStr"/>
    </row>
    <row r="122">
      <c r="A122" s="9">
        <f>IF(OR($B122="",$C122=""),"",$B122&amp;"|"&amp;$C122)</f>
        <v/>
      </c>
      <c r="B122" s="5" t="inlineStr"/>
      <c r="C122" s="5" t="inlineStr"/>
      <c r="D122" s="5" t="inlineStr"/>
      <c r="E122" s="30" t="inlineStr"/>
    </row>
    <row r="123">
      <c r="A123" s="9">
        <f>IF(OR($B123="",$C123=""),"",$B123&amp;"|"&amp;$C123)</f>
        <v/>
      </c>
      <c r="B123" s="5" t="inlineStr"/>
      <c r="C123" s="5" t="inlineStr"/>
      <c r="D123" s="5" t="inlineStr"/>
      <c r="E123" s="30" t="inlineStr"/>
    </row>
    <row r="124">
      <c r="A124" s="9">
        <f>IF(OR($B124="",$C124=""),"",$B124&amp;"|"&amp;$C124)</f>
        <v/>
      </c>
      <c r="B124" s="5" t="inlineStr"/>
      <c r="C124" s="5" t="inlineStr"/>
      <c r="D124" s="5" t="inlineStr"/>
      <c r="E124" s="30" t="inlineStr"/>
    </row>
    <row r="125">
      <c r="A125" s="9">
        <f>IF(OR($B125="",$C125=""),"",$B125&amp;"|"&amp;$C125)</f>
        <v/>
      </c>
      <c r="B125" s="5" t="inlineStr"/>
      <c r="C125" s="5" t="inlineStr"/>
      <c r="D125" s="5" t="inlineStr"/>
      <c r="E125" s="30" t="inlineStr"/>
    </row>
    <row r="126">
      <c r="A126" s="9">
        <f>IF(OR($B126="",$C126=""),"",$B126&amp;"|"&amp;$C126)</f>
        <v/>
      </c>
      <c r="B126" s="5" t="inlineStr"/>
      <c r="C126" s="5" t="inlineStr"/>
      <c r="D126" s="5" t="inlineStr"/>
      <c r="E126" s="30" t="inlineStr"/>
    </row>
    <row r="127">
      <c r="A127" s="9">
        <f>IF(OR($B127="",$C127=""),"",$B127&amp;"|"&amp;$C127)</f>
        <v/>
      </c>
      <c r="B127" s="5" t="inlineStr"/>
      <c r="C127" s="5" t="inlineStr"/>
      <c r="D127" s="5" t="inlineStr"/>
      <c r="E127" s="30" t="inlineStr"/>
    </row>
    <row r="128">
      <c r="A128" s="9">
        <f>IF(OR($B128="",$C128=""),"",$B128&amp;"|"&amp;$C128)</f>
        <v/>
      </c>
      <c r="B128" s="5" t="inlineStr"/>
      <c r="C128" s="5" t="inlineStr"/>
      <c r="D128" s="5" t="inlineStr"/>
      <c r="E128" s="30" t="inlineStr"/>
    </row>
    <row r="129">
      <c r="A129" s="9">
        <f>IF(OR($B129="",$C129=""),"",$B129&amp;"|"&amp;$C129)</f>
        <v/>
      </c>
      <c r="B129" s="5" t="inlineStr"/>
      <c r="C129" s="5" t="inlineStr"/>
      <c r="D129" s="5" t="inlineStr"/>
      <c r="E129" s="30" t="inlineStr"/>
    </row>
    <row r="130">
      <c r="A130" s="9">
        <f>IF(OR($B130="",$C130=""),"",$B130&amp;"|"&amp;$C130)</f>
        <v/>
      </c>
      <c r="B130" s="5" t="inlineStr"/>
      <c r="C130" s="5" t="inlineStr"/>
      <c r="D130" s="5" t="inlineStr"/>
      <c r="E130" s="30" t="inlineStr"/>
    </row>
    <row r="131">
      <c r="A131" s="9">
        <f>IF(OR($B131="",$C131=""),"",$B131&amp;"|"&amp;$C131)</f>
        <v/>
      </c>
      <c r="B131" s="5" t="inlineStr"/>
      <c r="C131" s="5" t="inlineStr"/>
      <c r="D131" s="5" t="inlineStr"/>
      <c r="E131" s="30" t="inlineStr"/>
    </row>
    <row r="132">
      <c r="A132" s="9">
        <f>IF(OR($B132="",$C132=""),"",$B132&amp;"|"&amp;$C132)</f>
        <v/>
      </c>
      <c r="B132" s="5" t="inlineStr"/>
      <c r="C132" s="5" t="inlineStr"/>
      <c r="D132" s="5" t="inlineStr"/>
      <c r="E132" s="30" t="inlineStr"/>
    </row>
    <row r="133">
      <c r="A133" s="9">
        <f>IF(OR($B133="",$C133=""),"",$B133&amp;"|"&amp;$C133)</f>
        <v/>
      </c>
      <c r="B133" s="5" t="inlineStr"/>
      <c r="C133" s="5" t="inlineStr"/>
      <c r="D133" s="5" t="inlineStr"/>
      <c r="E133" s="30" t="inlineStr"/>
    </row>
    <row r="134">
      <c r="A134" s="9">
        <f>IF(OR($B134="",$C134=""),"",$B134&amp;"|"&amp;$C134)</f>
        <v/>
      </c>
      <c r="B134" s="5" t="inlineStr"/>
      <c r="C134" s="5" t="inlineStr"/>
      <c r="D134" s="5" t="inlineStr"/>
      <c r="E134" s="30" t="inlineStr"/>
    </row>
    <row r="135">
      <c r="A135" s="9">
        <f>IF(OR($B135="",$C135=""),"",$B135&amp;"|"&amp;$C135)</f>
        <v/>
      </c>
      <c r="B135" s="5" t="inlineStr"/>
      <c r="C135" s="5" t="inlineStr"/>
      <c r="D135" s="5" t="inlineStr"/>
      <c r="E135" s="30" t="inlineStr"/>
    </row>
    <row r="136">
      <c r="A136" s="9">
        <f>IF(OR($B136="",$C136=""),"",$B136&amp;"|"&amp;$C136)</f>
        <v/>
      </c>
      <c r="B136" s="5" t="inlineStr"/>
      <c r="C136" s="5" t="inlineStr"/>
      <c r="D136" s="5" t="inlineStr"/>
      <c r="E136" s="30" t="inlineStr"/>
    </row>
    <row r="137">
      <c r="A137" s="9">
        <f>IF(OR($B137="",$C137=""),"",$B137&amp;"|"&amp;$C137)</f>
        <v/>
      </c>
      <c r="B137" s="5" t="inlineStr"/>
      <c r="C137" s="5" t="inlineStr"/>
      <c r="D137" s="5" t="inlineStr"/>
      <c r="E137" s="30" t="inlineStr"/>
    </row>
    <row r="138">
      <c r="A138" s="9">
        <f>IF(OR($B138="",$C138=""),"",$B138&amp;"|"&amp;$C138)</f>
        <v/>
      </c>
      <c r="B138" s="5" t="inlineStr"/>
      <c r="C138" s="5" t="inlineStr"/>
      <c r="D138" s="5" t="inlineStr"/>
      <c r="E138" s="30" t="inlineStr"/>
    </row>
    <row r="139">
      <c r="A139" s="9">
        <f>IF(OR($B139="",$C139=""),"",$B139&amp;"|"&amp;$C139)</f>
        <v/>
      </c>
      <c r="B139" s="5" t="inlineStr"/>
      <c r="C139" s="5" t="inlineStr"/>
      <c r="D139" s="5" t="inlineStr"/>
      <c r="E139" s="30" t="inlineStr"/>
    </row>
    <row r="140">
      <c r="A140" s="9">
        <f>IF(OR($B140="",$C140=""),"",$B140&amp;"|"&amp;$C140)</f>
        <v/>
      </c>
      <c r="B140" s="5" t="inlineStr"/>
      <c r="C140" s="5" t="inlineStr"/>
      <c r="D140" s="5" t="inlineStr"/>
      <c r="E140" s="30" t="inlineStr"/>
    </row>
    <row r="141">
      <c r="A141" s="9">
        <f>IF(OR($B141="",$C141=""),"",$B141&amp;"|"&amp;$C141)</f>
        <v/>
      </c>
      <c r="B141" s="5" t="inlineStr"/>
      <c r="C141" s="5" t="inlineStr"/>
      <c r="D141" s="5" t="inlineStr"/>
      <c r="E141" s="30" t="inlineStr"/>
    </row>
    <row r="142">
      <c r="A142" s="9">
        <f>IF(OR($B142="",$C142=""),"",$B142&amp;"|"&amp;$C142)</f>
        <v/>
      </c>
      <c r="B142" s="5" t="inlineStr"/>
      <c r="C142" s="5" t="inlineStr"/>
      <c r="D142" s="5" t="inlineStr"/>
      <c r="E142" s="30" t="inlineStr"/>
    </row>
    <row r="143">
      <c r="A143" s="9">
        <f>IF(OR($B143="",$C143=""),"",$B143&amp;"|"&amp;$C143)</f>
        <v/>
      </c>
      <c r="B143" s="5" t="inlineStr"/>
      <c r="C143" s="5" t="inlineStr"/>
      <c r="D143" s="5" t="inlineStr"/>
      <c r="E143" s="30" t="inlineStr"/>
    </row>
    <row r="144">
      <c r="A144" s="9">
        <f>IF(OR($B144="",$C144=""),"",$B144&amp;"|"&amp;$C144)</f>
        <v/>
      </c>
      <c r="B144" s="5" t="inlineStr"/>
      <c r="C144" s="5" t="inlineStr"/>
      <c r="D144" s="5" t="inlineStr"/>
      <c r="E144" s="30" t="inlineStr"/>
    </row>
    <row r="145">
      <c r="A145" s="9">
        <f>IF(OR($B145="",$C145=""),"",$B145&amp;"|"&amp;$C145)</f>
        <v/>
      </c>
      <c r="B145" s="5" t="inlineStr"/>
      <c r="C145" s="5" t="inlineStr"/>
      <c r="D145" s="5" t="inlineStr"/>
      <c r="E145" s="30" t="inlineStr"/>
    </row>
    <row r="146">
      <c r="A146" s="9">
        <f>IF(OR($B146="",$C146=""),"",$B146&amp;"|"&amp;$C146)</f>
        <v/>
      </c>
      <c r="B146" s="5" t="inlineStr"/>
      <c r="C146" s="5" t="inlineStr"/>
      <c r="D146" s="5" t="inlineStr"/>
      <c r="E146" s="30" t="inlineStr"/>
    </row>
    <row r="147">
      <c r="A147" s="9">
        <f>IF(OR($B147="",$C147=""),"",$B147&amp;"|"&amp;$C147)</f>
        <v/>
      </c>
      <c r="B147" s="5" t="inlineStr"/>
      <c r="C147" s="5" t="inlineStr"/>
      <c r="D147" s="5" t="inlineStr"/>
      <c r="E147" s="30" t="inlineStr"/>
    </row>
    <row r="148">
      <c r="A148" s="9">
        <f>IF(OR($B148="",$C148=""),"",$B148&amp;"|"&amp;$C148)</f>
        <v/>
      </c>
      <c r="B148" s="5" t="inlineStr"/>
      <c r="C148" s="5" t="inlineStr"/>
      <c r="D148" s="5" t="inlineStr"/>
      <c r="E148" s="30" t="inlineStr"/>
    </row>
    <row r="149">
      <c r="A149" s="9">
        <f>IF(OR($B149="",$C149=""),"",$B149&amp;"|"&amp;$C149)</f>
        <v/>
      </c>
      <c r="B149" s="5" t="inlineStr"/>
      <c r="C149" s="5" t="inlineStr"/>
      <c r="D149" s="5" t="inlineStr"/>
      <c r="E149" s="30" t="inlineStr"/>
    </row>
    <row r="150">
      <c r="A150" s="9">
        <f>IF(OR($B150="",$C150=""),"",$B150&amp;"|"&amp;$C150)</f>
        <v/>
      </c>
      <c r="B150" s="5" t="inlineStr"/>
      <c r="C150" s="5" t="inlineStr"/>
      <c r="D150" s="5" t="inlineStr"/>
      <c r="E150" s="30" t="inlineStr"/>
    </row>
    <row r="151">
      <c r="A151" s="9">
        <f>IF(OR($B151="",$C151=""),"",$B151&amp;"|"&amp;$C151)</f>
        <v/>
      </c>
      <c r="B151" s="5" t="inlineStr"/>
      <c r="C151" s="5" t="inlineStr"/>
      <c r="D151" s="5" t="inlineStr"/>
      <c r="E151" s="30" t="inlineStr"/>
    </row>
    <row r="152">
      <c r="A152" s="9">
        <f>IF(OR($B152="",$C152=""),"",$B152&amp;"|"&amp;$C152)</f>
        <v/>
      </c>
      <c r="B152" s="5" t="inlineStr"/>
      <c r="C152" s="5" t="inlineStr"/>
      <c r="D152" s="5" t="inlineStr"/>
      <c r="E152" s="30" t="inlineStr"/>
    </row>
    <row r="153">
      <c r="A153" s="9">
        <f>IF(OR($B153="",$C153=""),"",$B153&amp;"|"&amp;$C153)</f>
        <v/>
      </c>
      <c r="B153" s="5" t="inlineStr"/>
      <c r="C153" s="5" t="inlineStr"/>
      <c r="D153" s="5" t="inlineStr"/>
      <c r="E153" s="30" t="inlineStr"/>
    </row>
    <row r="154">
      <c r="A154" s="9">
        <f>IF(OR($B154="",$C154=""),"",$B154&amp;"|"&amp;$C154)</f>
        <v/>
      </c>
      <c r="B154" s="5" t="inlineStr"/>
      <c r="C154" s="5" t="inlineStr"/>
      <c r="D154" s="5" t="inlineStr"/>
      <c r="E154" s="30" t="inlineStr"/>
    </row>
    <row r="155">
      <c r="A155" s="9">
        <f>IF(OR($B155="",$C155=""),"",$B155&amp;"|"&amp;$C155)</f>
        <v/>
      </c>
      <c r="B155" s="5" t="inlineStr"/>
      <c r="C155" s="5" t="inlineStr"/>
      <c r="D155" s="5" t="inlineStr"/>
      <c r="E155" s="30" t="inlineStr"/>
    </row>
    <row r="156">
      <c r="A156" s="9">
        <f>IF(OR($B156="",$C156=""),"",$B156&amp;"|"&amp;$C156)</f>
        <v/>
      </c>
      <c r="B156" s="5" t="inlineStr"/>
      <c r="C156" s="5" t="inlineStr"/>
      <c r="D156" s="5" t="inlineStr"/>
      <c r="E156" s="30" t="inlineStr"/>
    </row>
    <row r="157">
      <c r="A157" s="9">
        <f>IF(OR($B157="",$C157=""),"",$B157&amp;"|"&amp;$C157)</f>
        <v/>
      </c>
      <c r="B157" s="5" t="inlineStr"/>
      <c r="C157" s="5" t="inlineStr"/>
      <c r="D157" s="5" t="inlineStr"/>
      <c r="E157" s="30" t="inlineStr"/>
    </row>
    <row r="158">
      <c r="A158" s="9">
        <f>IF(OR($B158="",$C158=""),"",$B158&amp;"|"&amp;$C158)</f>
        <v/>
      </c>
      <c r="B158" s="5" t="inlineStr"/>
      <c r="C158" s="5" t="inlineStr"/>
      <c r="D158" s="5" t="inlineStr"/>
      <c r="E158" s="30" t="inlineStr"/>
    </row>
    <row r="159">
      <c r="A159" s="9">
        <f>IF(OR($B159="",$C159=""),"",$B159&amp;"|"&amp;$C159)</f>
        <v/>
      </c>
      <c r="B159" s="5" t="inlineStr"/>
      <c r="C159" s="5" t="inlineStr"/>
      <c r="D159" s="5" t="inlineStr"/>
      <c r="E159" s="30" t="inlineStr"/>
    </row>
    <row r="160">
      <c r="A160" s="9">
        <f>IF(OR($B160="",$C160=""),"",$B160&amp;"|"&amp;$C160)</f>
        <v/>
      </c>
      <c r="B160" s="5" t="inlineStr"/>
      <c r="C160" s="5" t="inlineStr"/>
      <c r="D160" s="5" t="inlineStr"/>
      <c r="E160" s="30" t="inlineStr"/>
    </row>
    <row r="161">
      <c r="A161" s="9">
        <f>IF(OR($B161="",$C161=""),"",$B161&amp;"|"&amp;$C161)</f>
        <v/>
      </c>
      <c r="B161" s="5" t="inlineStr"/>
      <c r="C161" s="5" t="inlineStr"/>
      <c r="D161" s="5" t="inlineStr"/>
      <c r="E161" s="30" t="inlineStr"/>
    </row>
    <row r="162">
      <c r="A162" s="9">
        <f>IF(OR($B162="",$C162=""),"",$B162&amp;"|"&amp;$C162)</f>
        <v/>
      </c>
      <c r="B162" s="5" t="inlineStr"/>
      <c r="C162" s="5" t="inlineStr"/>
      <c r="D162" s="5" t="inlineStr"/>
      <c r="E162" s="30" t="inlineStr"/>
    </row>
    <row r="163">
      <c r="A163" s="9">
        <f>IF(OR($B163="",$C163=""),"",$B163&amp;"|"&amp;$C163)</f>
        <v/>
      </c>
      <c r="B163" s="5" t="inlineStr"/>
      <c r="C163" s="5" t="inlineStr"/>
      <c r="D163" s="5" t="inlineStr"/>
      <c r="E163" s="30" t="inlineStr"/>
    </row>
    <row r="164">
      <c r="A164" s="9">
        <f>IF(OR($B164="",$C164=""),"",$B164&amp;"|"&amp;$C164)</f>
        <v/>
      </c>
      <c r="B164" s="5" t="inlineStr"/>
      <c r="C164" s="5" t="inlineStr"/>
      <c r="D164" s="5" t="inlineStr"/>
      <c r="E164" s="30" t="inlineStr"/>
    </row>
    <row r="165">
      <c r="A165" s="9">
        <f>IF(OR($B165="",$C165=""),"",$B165&amp;"|"&amp;$C165)</f>
        <v/>
      </c>
      <c r="B165" s="5" t="inlineStr"/>
      <c r="C165" s="5" t="inlineStr"/>
      <c r="D165" s="5" t="inlineStr"/>
      <c r="E165" s="30" t="inlineStr"/>
    </row>
    <row r="166">
      <c r="A166" s="9">
        <f>IF(OR($B166="",$C166=""),"",$B166&amp;"|"&amp;$C166)</f>
        <v/>
      </c>
      <c r="B166" s="5" t="inlineStr"/>
      <c r="C166" s="5" t="inlineStr"/>
      <c r="D166" s="5" t="inlineStr"/>
      <c r="E166" s="30" t="inlineStr"/>
    </row>
    <row r="167">
      <c r="A167" s="9">
        <f>IF(OR($B167="",$C167=""),"",$B167&amp;"|"&amp;$C167)</f>
        <v/>
      </c>
      <c r="B167" s="5" t="inlineStr"/>
      <c r="C167" s="5" t="inlineStr"/>
      <c r="D167" s="5" t="inlineStr"/>
      <c r="E167" s="30" t="inlineStr"/>
    </row>
    <row r="168">
      <c r="A168" s="9">
        <f>IF(OR($B168="",$C168=""),"",$B168&amp;"|"&amp;$C168)</f>
        <v/>
      </c>
      <c r="B168" s="5" t="inlineStr"/>
      <c r="C168" s="5" t="inlineStr"/>
      <c r="D168" s="5" t="inlineStr"/>
      <c r="E168" s="30" t="inlineStr"/>
    </row>
    <row r="169">
      <c r="A169" s="9">
        <f>IF(OR($B169="",$C169=""),"",$B169&amp;"|"&amp;$C169)</f>
        <v/>
      </c>
      <c r="B169" s="5" t="inlineStr"/>
      <c r="C169" s="5" t="inlineStr"/>
      <c r="D169" s="5" t="inlineStr"/>
      <c r="E169" s="30" t="inlineStr"/>
    </row>
    <row r="170">
      <c r="A170" s="9">
        <f>IF(OR($B170="",$C170=""),"",$B170&amp;"|"&amp;$C170)</f>
        <v/>
      </c>
      <c r="B170" s="5" t="inlineStr"/>
      <c r="C170" s="5" t="inlineStr"/>
      <c r="D170" s="5" t="inlineStr"/>
      <c r="E170" s="30" t="inlineStr"/>
    </row>
    <row r="171">
      <c r="A171" s="9">
        <f>IF(OR($B171="",$C171=""),"",$B171&amp;"|"&amp;$C171)</f>
        <v/>
      </c>
      <c r="B171" s="5" t="inlineStr"/>
      <c r="C171" s="5" t="inlineStr"/>
      <c r="D171" s="5" t="inlineStr"/>
      <c r="E171" s="30" t="inlineStr"/>
    </row>
    <row r="172">
      <c r="A172" s="9">
        <f>IF(OR($B172="",$C172=""),"",$B172&amp;"|"&amp;$C172)</f>
        <v/>
      </c>
      <c r="B172" s="5" t="inlineStr"/>
      <c r="C172" s="5" t="inlineStr"/>
      <c r="D172" s="5" t="inlineStr"/>
      <c r="E172" s="30" t="inlineStr"/>
    </row>
    <row r="173">
      <c r="A173" s="9">
        <f>IF(OR($B173="",$C173=""),"",$B173&amp;"|"&amp;$C173)</f>
        <v/>
      </c>
      <c r="B173" s="5" t="inlineStr"/>
      <c r="C173" s="5" t="inlineStr"/>
      <c r="D173" s="5" t="inlineStr"/>
      <c r="E173" s="30" t="inlineStr"/>
    </row>
    <row r="174">
      <c r="A174" s="9">
        <f>IF(OR($B174="",$C174=""),"",$B174&amp;"|"&amp;$C174)</f>
        <v/>
      </c>
      <c r="B174" s="5" t="inlineStr"/>
      <c r="C174" s="5" t="inlineStr"/>
      <c r="D174" s="5" t="inlineStr"/>
      <c r="E174" s="30" t="inlineStr"/>
    </row>
    <row r="175">
      <c r="A175" s="9">
        <f>IF(OR($B175="",$C175=""),"",$B175&amp;"|"&amp;$C175)</f>
        <v/>
      </c>
      <c r="B175" s="5" t="inlineStr"/>
      <c r="C175" s="5" t="inlineStr"/>
      <c r="D175" s="5" t="inlineStr"/>
      <c r="E175" s="30" t="inlineStr"/>
    </row>
    <row r="176">
      <c r="A176" s="9">
        <f>IF(OR($B176="",$C176=""),"",$B176&amp;"|"&amp;$C176)</f>
        <v/>
      </c>
      <c r="B176" s="5" t="inlineStr"/>
      <c r="C176" s="5" t="inlineStr"/>
      <c r="D176" s="5" t="inlineStr"/>
      <c r="E176" s="30" t="inlineStr"/>
    </row>
    <row r="177">
      <c r="A177" s="9">
        <f>IF(OR($B177="",$C177=""),"",$B177&amp;"|"&amp;$C177)</f>
        <v/>
      </c>
      <c r="B177" s="5" t="inlineStr"/>
      <c r="C177" s="5" t="inlineStr"/>
      <c r="D177" s="5" t="inlineStr"/>
      <c r="E177" s="30" t="inlineStr"/>
    </row>
    <row r="178">
      <c r="A178" s="9">
        <f>IF(OR($B178="",$C178=""),"",$B178&amp;"|"&amp;$C178)</f>
        <v/>
      </c>
      <c r="B178" s="5" t="inlineStr"/>
      <c r="C178" s="5" t="inlineStr"/>
      <c r="D178" s="5" t="inlineStr"/>
      <c r="E178" s="30" t="inlineStr"/>
    </row>
    <row r="179">
      <c r="A179" s="9">
        <f>IF(OR($B179="",$C179=""),"",$B179&amp;"|"&amp;$C179)</f>
        <v/>
      </c>
      <c r="B179" s="5" t="inlineStr"/>
      <c r="C179" s="5" t="inlineStr"/>
      <c r="D179" s="5" t="inlineStr"/>
      <c r="E179" s="30" t="inlineStr"/>
    </row>
    <row r="180">
      <c r="A180" s="9">
        <f>IF(OR($B180="",$C180=""),"",$B180&amp;"|"&amp;$C180)</f>
        <v/>
      </c>
      <c r="B180" s="5" t="inlineStr"/>
      <c r="C180" s="5" t="inlineStr"/>
      <c r="D180" s="5" t="inlineStr"/>
      <c r="E180" s="30" t="inlineStr"/>
    </row>
    <row r="181">
      <c r="A181" s="9">
        <f>IF(OR($B181="",$C181=""),"",$B181&amp;"|"&amp;$C181)</f>
        <v/>
      </c>
      <c r="B181" s="5" t="inlineStr"/>
      <c r="C181" s="5" t="inlineStr"/>
      <c r="D181" s="5" t="inlineStr"/>
      <c r="E181" s="30" t="inlineStr"/>
    </row>
    <row r="182">
      <c r="A182" s="9">
        <f>IF(OR($B182="",$C182=""),"",$B182&amp;"|"&amp;$C182)</f>
        <v/>
      </c>
      <c r="B182" s="5" t="inlineStr"/>
      <c r="C182" s="5" t="inlineStr"/>
      <c r="D182" s="5" t="inlineStr"/>
      <c r="E182" s="30" t="inlineStr"/>
    </row>
    <row r="183">
      <c r="A183" s="9">
        <f>IF(OR($B183="",$C183=""),"",$B183&amp;"|"&amp;$C183)</f>
        <v/>
      </c>
      <c r="B183" s="5" t="inlineStr"/>
      <c r="C183" s="5" t="inlineStr"/>
      <c r="D183" s="5" t="inlineStr"/>
      <c r="E183" s="30" t="inlineStr"/>
    </row>
    <row r="184">
      <c r="A184" s="9">
        <f>IF(OR($B184="",$C184=""),"",$B184&amp;"|"&amp;$C184)</f>
        <v/>
      </c>
      <c r="B184" s="5" t="inlineStr"/>
      <c r="C184" s="5" t="inlineStr"/>
      <c r="D184" s="5" t="inlineStr"/>
      <c r="E184" s="30" t="inlineStr"/>
    </row>
    <row r="185">
      <c r="A185" s="9">
        <f>IF(OR($B185="",$C185=""),"",$B185&amp;"|"&amp;$C185)</f>
        <v/>
      </c>
      <c r="B185" s="5" t="inlineStr"/>
      <c r="C185" s="5" t="inlineStr"/>
      <c r="D185" s="5" t="inlineStr"/>
      <c r="E185" s="30" t="inlineStr"/>
    </row>
    <row r="186">
      <c r="A186" s="9">
        <f>IF(OR($B186="",$C186=""),"",$B186&amp;"|"&amp;$C186)</f>
        <v/>
      </c>
      <c r="B186" s="5" t="inlineStr"/>
      <c r="C186" s="5" t="inlineStr"/>
      <c r="D186" s="5" t="inlineStr"/>
      <c r="E186" s="30" t="inlineStr"/>
    </row>
    <row r="187">
      <c r="A187" s="9">
        <f>IF(OR($B187="",$C187=""),"",$B187&amp;"|"&amp;$C187)</f>
        <v/>
      </c>
      <c r="B187" s="5" t="inlineStr"/>
      <c r="C187" s="5" t="inlineStr"/>
      <c r="D187" s="5" t="inlineStr"/>
      <c r="E187" s="30" t="inlineStr"/>
    </row>
    <row r="188">
      <c r="A188" s="9">
        <f>IF(OR($B188="",$C188=""),"",$B188&amp;"|"&amp;$C188)</f>
        <v/>
      </c>
      <c r="B188" s="5" t="inlineStr"/>
      <c r="C188" s="5" t="inlineStr"/>
      <c r="D188" s="5" t="inlineStr"/>
      <c r="E188" s="30" t="inlineStr"/>
    </row>
    <row r="189">
      <c r="A189" s="9">
        <f>IF(OR($B189="",$C189=""),"",$B189&amp;"|"&amp;$C189)</f>
        <v/>
      </c>
      <c r="B189" s="5" t="inlineStr"/>
      <c r="C189" s="5" t="inlineStr"/>
      <c r="D189" s="5" t="inlineStr"/>
      <c r="E189" s="30" t="inlineStr"/>
    </row>
    <row r="190">
      <c r="A190" s="9">
        <f>IF(OR($B190="",$C190=""),"",$B190&amp;"|"&amp;$C190)</f>
        <v/>
      </c>
      <c r="B190" s="5" t="inlineStr"/>
      <c r="C190" s="5" t="inlineStr"/>
      <c r="D190" s="5" t="inlineStr"/>
      <c r="E190" s="30" t="inlineStr"/>
    </row>
    <row r="191">
      <c r="A191" s="9">
        <f>IF(OR($B191="",$C191=""),"",$B191&amp;"|"&amp;$C191)</f>
        <v/>
      </c>
      <c r="B191" s="5" t="inlineStr"/>
      <c r="C191" s="5" t="inlineStr"/>
      <c r="D191" s="5" t="inlineStr"/>
      <c r="E191" s="30" t="inlineStr"/>
    </row>
    <row r="192">
      <c r="A192" s="9">
        <f>IF(OR($B192="",$C192=""),"",$B192&amp;"|"&amp;$C192)</f>
        <v/>
      </c>
      <c r="B192" s="5" t="inlineStr"/>
      <c r="C192" s="5" t="inlineStr"/>
      <c r="D192" s="5" t="inlineStr"/>
      <c r="E192" s="30" t="inlineStr"/>
    </row>
    <row r="193">
      <c r="A193" s="9">
        <f>IF(OR($B193="",$C193=""),"",$B193&amp;"|"&amp;$C193)</f>
        <v/>
      </c>
      <c r="B193" s="5" t="inlineStr"/>
      <c r="C193" s="5" t="inlineStr"/>
      <c r="D193" s="5" t="inlineStr"/>
      <c r="E193" s="30" t="inlineStr"/>
    </row>
    <row r="194">
      <c r="A194" s="9">
        <f>IF(OR($B194="",$C194=""),"",$B194&amp;"|"&amp;$C194)</f>
        <v/>
      </c>
      <c r="B194" s="5" t="inlineStr"/>
      <c r="C194" s="5" t="inlineStr"/>
      <c r="D194" s="5" t="inlineStr"/>
      <c r="E194" s="30" t="inlineStr"/>
    </row>
    <row r="195">
      <c r="A195" s="9">
        <f>IF(OR($B195="",$C195=""),"",$B195&amp;"|"&amp;$C195)</f>
        <v/>
      </c>
      <c r="B195" s="5" t="inlineStr"/>
      <c r="C195" s="5" t="inlineStr"/>
      <c r="D195" s="5" t="inlineStr"/>
      <c r="E195" s="30" t="inlineStr"/>
    </row>
    <row r="196">
      <c r="A196" s="9">
        <f>IF(OR($B196="",$C196=""),"",$B196&amp;"|"&amp;$C196)</f>
        <v/>
      </c>
      <c r="B196" s="5" t="inlineStr"/>
      <c r="C196" s="5" t="inlineStr"/>
      <c r="D196" s="5" t="inlineStr"/>
      <c r="E196" s="30" t="inlineStr"/>
    </row>
    <row r="197">
      <c r="A197" s="9">
        <f>IF(OR($B197="",$C197=""),"",$B197&amp;"|"&amp;$C197)</f>
        <v/>
      </c>
      <c r="B197" s="5" t="inlineStr"/>
      <c r="C197" s="5" t="inlineStr"/>
      <c r="D197" s="5" t="inlineStr"/>
      <c r="E197" s="30" t="inlineStr"/>
    </row>
    <row r="198">
      <c r="A198" s="9">
        <f>IF(OR($B198="",$C198=""),"",$B198&amp;"|"&amp;$C198)</f>
        <v/>
      </c>
      <c r="B198" s="5" t="inlineStr"/>
      <c r="C198" s="5" t="inlineStr"/>
      <c r="D198" s="5" t="inlineStr"/>
      <c r="E198" s="30" t="inlineStr"/>
    </row>
    <row r="199">
      <c r="A199" s="9">
        <f>IF(OR($B199="",$C199=""),"",$B199&amp;"|"&amp;$C199)</f>
        <v/>
      </c>
      <c r="B199" s="5" t="inlineStr"/>
      <c r="C199" s="5" t="inlineStr"/>
      <c r="D199" s="5" t="inlineStr"/>
      <c r="E199" s="30" t="inlineStr"/>
    </row>
    <row r="200">
      <c r="A200" s="9">
        <f>IF(OR($B200="",$C200=""),"",$B200&amp;"|"&amp;$C200)</f>
        <v/>
      </c>
      <c r="B200" s="5" t="inlineStr"/>
      <c r="C200" s="5" t="inlineStr"/>
      <c r="D200" s="5" t="inlineStr"/>
      <c r="E200" s="30" t="inlineStr"/>
    </row>
    <row r="201">
      <c r="A201" s="9">
        <f>IF(OR($B201="",$C201=""),"",$B201&amp;"|"&amp;$C201)</f>
        <v/>
      </c>
      <c r="B201" s="5" t="inlineStr"/>
      <c r="C201" s="5" t="inlineStr"/>
      <c r="D201" s="5" t="inlineStr"/>
      <c r="E201" s="30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Controls &amp; Rules (edit blue cells)</t>
        </is>
      </c>
    </row>
    <row r="3" ht="18" customHeight="1">
      <c r="A3" s="14" t="inlineStr">
        <is>
          <t>Season start date (used for AgeClass if DOB is present)</t>
        </is>
      </c>
      <c r="B3" s="15" t="n">
        <v>46023</v>
      </c>
    </row>
    <row r="4" ht="18" customHeight="1">
      <c r="A4" s="14" t="inlineStr">
        <is>
          <t>Inbreeding cap (F_offspring max)</t>
        </is>
      </c>
      <c r="B4" s="28" t="n">
        <v>0.06</v>
      </c>
    </row>
    <row r="5" ht="18" customHeight="1">
      <c r="A5" s="17" t="n"/>
      <c r="B5" s="17" t="n"/>
    </row>
    <row r="6" ht="18" customHeight="1">
      <c r="A6" s="18" t="inlineStr">
        <is>
          <t>Index weights (must sum to 1.00)</t>
        </is>
      </c>
      <c r="B6" s="17" t="n"/>
    </row>
    <row r="7" ht="18" customHeight="1">
      <c r="A7" s="14" t="inlineStr">
        <is>
          <t>Hardiness weight</t>
        </is>
      </c>
      <c r="B7" s="19" t="n">
        <v>0.5</v>
      </c>
    </row>
    <row r="8" ht="18" customHeight="1">
      <c r="A8" s="14" t="inlineStr">
        <is>
          <t>Meat/Growth weight</t>
        </is>
      </c>
      <c r="B8" s="19" t="n">
        <v>0.35</v>
      </c>
    </row>
    <row r="9" ht="18" customHeight="1">
      <c r="A9" s="14" t="inlineStr">
        <is>
          <t>Hair weight</t>
        </is>
      </c>
      <c r="B9" s="19" t="n">
        <v>0.15</v>
      </c>
    </row>
    <row r="10" ht="18" customHeight="1">
      <c r="A10" s="17" t="n"/>
      <c r="B10" s="17" t="n"/>
    </row>
    <row r="11" ht="18" customHeight="1">
      <c r="A11" s="18" t="inlineStr">
        <is>
          <t>Hardiness sub-weights</t>
        </is>
      </c>
      <c r="B11" s="17" t="n"/>
    </row>
    <row r="12" ht="18" customHeight="1">
      <c r="A12" s="20" t="inlineStr">
        <is>
          <t>FAMACHA (lower better)</t>
        </is>
      </c>
      <c r="B12" s="19" t="n">
        <v>0.3</v>
      </c>
    </row>
    <row r="13" ht="18" customHeight="1">
      <c r="A13" s="20" t="inlineStr">
        <is>
          <t>FEC (lower better)</t>
        </is>
      </c>
      <c r="B13" s="19" t="n">
        <v>0.4</v>
      </c>
    </row>
    <row r="14" ht="18" customHeight="1">
      <c r="A14" s="20" t="inlineStr">
        <is>
          <t>Deworm count (lower better)</t>
        </is>
      </c>
      <c r="B14" s="19" t="n">
        <v>0.2</v>
      </c>
    </row>
    <row r="15" ht="18" customHeight="1">
      <c r="A15" s="20" t="inlineStr">
        <is>
          <t>Lamb survival % (higher better)</t>
        </is>
      </c>
      <c r="B15" s="19" t="n">
        <v>0.1</v>
      </c>
    </row>
    <row r="16" ht="18" customHeight="1">
      <c r="A16" s="17" t="n"/>
      <c r="B16" s="17" t="n"/>
    </row>
    <row r="17" ht="18" customHeight="1">
      <c r="A17" s="17" t="n"/>
      <c r="B17" s="17" t="n"/>
    </row>
    <row r="18" ht="18" customHeight="1">
      <c r="A18" s="18" t="inlineStr">
        <is>
          <t>Meat/Growth sub-weights</t>
        </is>
      </c>
      <c r="B18" s="17" t="n"/>
    </row>
    <row r="19" ht="18" customHeight="1">
      <c r="A19" s="17" t="inlineStr">
        <is>
          <t>Weaning weight / 60-90d (higher better)</t>
        </is>
      </c>
      <c r="B19" s="19" t="n">
        <v>0.7</v>
      </c>
    </row>
    <row r="20" ht="18" customHeight="1">
      <c r="A20" s="17" t="inlineStr">
        <is>
          <t>ADG (higher better)</t>
        </is>
      </c>
      <c r="B20" s="19" t="n">
        <v>0.3</v>
      </c>
    </row>
    <row r="21" ht="18" customHeight="1">
      <c r="A21" s="17" t="n"/>
      <c r="B21" s="17" t="n"/>
    </row>
    <row r="22" ht="18" customHeight="1">
      <c r="A22" s="17" t="n"/>
      <c r="B22" s="17" t="n"/>
    </row>
    <row r="23" ht="18" customHeight="1">
      <c r="A23" s="18" t="inlineStr">
        <is>
          <t>Hair sub-weights</t>
        </is>
      </c>
      <c r="B23" s="17" t="n"/>
    </row>
    <row r="24" ht="18" customHeight="1">
      <c r="A24" s="17" t="inlineStr">
        <is>
          <t>Shedding score (higher better)</t>
        </is>
      </c>
      <c r="B24" s="19" t="n">
        <v>1</v>
      </c>
    </row>
    <row r="25" ht="18" customHeight="1">
      <c r="A25" s="17" t="n"/>
      <c r="B25" s="17" t="n"/>
    </row>
    <row r="26" ht="18" customHeight="1">
      <c r="A26" s="18" t="inlineStr">
        <is>
          <t>Ewe-lamb safety</t>
        </is>
      </c>
      <c r="B26" s="17" t="n"/>
    </row>
    <row r="27" ht="18" customHeight="1">
      <c r="A27" s="17" t="inlineStr">
        <is>
          <t>Max expected ram wt (lb) allowed on ewe lambs</t>
        </is>
      </c>
      <c r="B27" s="21" t="n">
        <v>230</v>
      </c>
    </row>
    <row r="28" ht="18" customHeight="1">
      <c r="A28" s="17" t="n"/>
      <c r="B28" s="17" t="n"/>
    </row>
    <row r="29" ht="18" customHeight="1">
      <c r="A29" s="17" t="n"/>
      <c r="B29" s="17" t="n"/>
    </row>
    <row r="30" ht="18" customHeight="1">
      <c r="A30" s="17" t="n"/>
      <c r="B30" s="17" t="n"/>
    </row>
    <row r="31" ht="18" customHeight="1">
      <c r="A31" s="17" t="n"/>
      <c r="B31" s="17" t="n"/>
    </row>
    <row r="32" ht="18" customHeight="1">
      <c r="A32" s="17" t="n"/>
      <c r="B32" s="17" t="n"/>
    </row>
    <row r="33" ht="18" customHeight="1">
      <c r="A33" s="17" t="n"/>
      <c r="B33" s="17" t="n"/>
    </row>
    <row r="34" ht="18" customHeight="1">
      <c r="A34" s="17" t="n"/>
      <c r="B34" s="17" t="n"/>
    </row>
  </sheetData>
  <mergeCells count="1">
    <mergeCell ref="A1:H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2" customHeight="1">
      <c r="A1" s="10" t="inlineStr">
        <is>
          <t>Pen/Group</t>
        </is>
      </c>
      <c r="B1" s="10" t="inlineStr">
        <is>
          <t>n(FAMACHA)</t>
        </is>
      </c>
      <c r="C1" s="10" t="inlineStr">
        <is>
          <t>mean(FAMACHA)</t>
        </is>
      </c>
      <c r="D1" s="10" t="inlineStr">
        <is>
          <t>sd(FAMACHA)</t>
        </is>
      </c>
      <c r="E1" s="10" t="inlineStr">
        <is>
          <t>n(FEC)</t>
        </is>
      </c>
      <c r="F1" s="10" t="inlineStr">
        <is>
          <t>mean(FEC)</t>
        </is>
      </c>
      <c r="G1" s="10" t="inlineStr">
        <is>
          <t>sd(FEC)</t>
        </is>
      </c>
      <c r="H1" s="10" t="inlineStr">
        <is>
          <t>n(Deworm)</t>
        </is>
      </c>
      <c r="I1" s="10" t="inlineStr">
        <is>
          <t>mean(Deworm)</t>
        </is>
      </c>
      <c r="J1" s="10" t="inlineStr">
        <is>
          <t>sd(Deworm)</t>
        </is>
      </c>
      <c r="K1" s="10" t="inlineStr">
        <is>
          <t>n(Survival)</t>
        </is>
      </c>
      <c r="L1" s="10" t="inlineStr">
        <is>
          <t>mean(Survival)</t>
        </is>
      </c>
      <c r="M1" s="10" t="inlineStr">
        <is>
          <t>sd(Survival)</t>
        </is>
      </c>
      <c r="N1" s="10" t="inlineStr">
        <is>
          <t>n(WeanWt)</t>
        </is>
      </c>
      <c r="O1" s="10" t="inlineStr">
        <is>
          <t>mean(WeanWt)</t>
        </is>
      </c>
      <c r="P1" s="10" t="inlineStr">
        <is>
          <t>sd(WeanWt)</t>
        </is>
      </c>
      <c r="Q1" s="10" t="inlineStr">
        <is>
          <t>n(ADG)</t>
        </is>
      </c>
      <c r="R1" s="10" t="inlineStr">
        <is>
          <t>mean(ADG)</t>
        </is>
      </c>
      <c r="S1" s="10" t="inlineStr">
        <is>
          <t>sd(ADG)</t>
        </is>
      </c>
      <c r="T1" s="10" t="inlineStr">
        <is>
          <t>n(Shedding)</t>
        </is>
      </c>
      <c r="U1" s="10" t="inlineStr">
        <is>
          <t>mean(Shedding)</t>
        </is>
      </c>
      <c r="V1" s="10" t="inlineStr">
        <is>
          <t>sd(Shedding)</t>
        </is>
      </c>
    </row>
    <row r="2">
      <c r="A2" s="5" t="inlineStr">
        <is>
          <t>Pen 1</t>
        </is>
      </c>
      <c r="B2" s="7">
        <f>SUMPRODUCT((INDEX!$E$6:$E$74=$A2)*(INDEX!$K$6:$K$74&lt;&gt;""))</f>
        <v/>
      </c>
      <c r="C2" s="25">
        <f>IF(B2=0,"",SUMPRODUCT((INDEX!$E$6:$E$74=$A2)*(INDEX!$K$6:$K$74))/B2)</f>
        <v/>
      </c>
      <c r="D2" s="25">
        <f>IF(B2&lt;=1,"",SQRT(IF(B2&lt;=1,"",SUMPRODUCT((INDEX!$E$6:$E$74=$A2)*(INDEX!$K$6:$K$74-C2)^2)/(B2-1))))</f>
        <v/>
      </c>
      <c r="E2" s="7">
        <f>SUMPRODUCT((INDEX!$E$6:$E$74=$A2)*(INDEX!$L$6:$L$74&lt;&gt;""))</f>
        <v/>
      </c>
      <c r="F2" s="7">
        <f>IF(E2=0,"",SUMPRODUCT((INDEX!$E$6:$E$74=$A2)*(INDEX!$L$6:$L$74))/E2)</f>
        <v/>
      </c>
      <c r="G2" s="7">
        <f>IF(E2&lt;=1,"",SQRT(IF(E2&lt;=1,"",SUMPRODUCT((INDEX!$E$6:$E$74=$A2)*(INDEX!$L$6:$L$74-F2)^2)/(E2-1))))</f>
        <v/>
      </c>
      <c r="H2" s="7">
        <f>SUMPRODUCT((INDEX!$E$6:$E$74=$A2)*(INDEX!$M$6:$M$74&lt;&gt;""))</f>
        <v/>
      </c>
      <c r="I2" s="25">
        <f>IF(H2=0,"",SUMPRODUCT((INDEX!$E$6:$E$74=$A2)*(INDEX!$M$6:$M$74))/H2)</f>
        <v/>
      </c>
      <c r="J2" s="25">
        <f>IF(H2&lt;=1,"",SQRT(IF(H2&lt;=1,"",SUMPRODUCT((INDEX!$E$6:$E$74=$A2)*(INDEX!$M$6:$M$74-I2)^2)/(H2-1))))</f>
        <v/>
      </c>
      <c r="K2" s="7">
        <f>SUMPRODUCT((INDEX!$E$6:$E$74=$A2)*(INDEX!$N$6:$N$74&lt;&gt;""))</f>
        <v/>
      </c>
      <c r="L2" s="29">
        <f>IF(K2=0,"",SUMPRODUCT((INDEX!$E$6:$E$74=$A2)*(INDEX!$N$6:$N$74))/K2)</f>
        <v/>
      </c>
      <c r="M2" s="29">
        <f>IF(K2&lt;=1,"",SQRT(IF(K2&lt;=1,"",SUMPRODUCT((INDEX!$E$6:$E$74=$A2)*(INDEX!$N$6:$N$74-L2)^2)/(K2-1))))</f>
        <v/>
      </c>
      <c r="N2" s="7">
        <f>SUMPRODUCT((INDEX!$E$6:$E$74=$A2)*(INDEX!$O$6:$O$74&lt;&gt;""))</f>
        <v/>
      </c>
      <c r="O2" s="27">
        <f>IF(N2=0,"",SUMPRODUCT((INDEX!$E$6:$E$74=$A2)*(INDEX!$O$6:$O$74))/N2)</f>
        <v/>
      </c>
      <c r="P2" s="27">
        <f>IF(N2&lt;=1,"",SQRT(IF(N2&lt;=1,"",SUMPRODUCT((INDEX!$E$6:$E$74=$A2)*(INDEX!$O$6:$O$74-O2)^2)/(N2-1))))</f>
        <v/>
      </c>
      <c r="Q2" s="7">
        <f>SUMPRODUCT((INDEX!$E$6:$E$74=$A2)*(INDEX!$P$6:$P$74&lt;&gt;""))</f>
        <v/>
      </c>
      <c r="R2" s="25">
        <f>IF(Q2=0,"",SUMPRODUCT((INDEX!$E$6:$E$74=$A2)*(INDEX!$P$6:$P$74))/Q2)</f>
        <v/>
      </c>
      <c r="S2" s="25">
        <f>IF(Q2&lt;=1,"",SQRT(IF(Q2&lt;=1,"",SUMPRODUCT((INDEX!$E$6:$E$74=$A2)*(INDEX!$P$6:$P$74-R2)^2)/(Q2-1))))</f>
        <v/>
      </c>
      <c r="T2" s="7">
        <f>SUMPRODUCT((INDEX!$E$6:$E$74=$A2)*(INDEX!$Q$6:$Q$74&lt;&gt;""))</f>
        <v/>
      </c>
      <c r="U2" s="27">
        <f>IF(T2=0,"",SUMPRODUCT((INDEX!$E$6:$E$74=$A2)*(INDEX!$Q$6:$Q$74))/T2)</f>
        <v/>
      </c>
      <c r="V2" s="27">
        <f>IF(T2&lt;=1,"",SQRT(IF(T2&lt;=1,"",SUMPRODUCT((INDEX!$E$6:$E$74=$A2)*(INDEX!$Q$6:$Q$74-U2)^2)/(T2-1))))</f>
        <v/>
      </c>
    </row>
    <row r="3">
      <c r="A3" s="5" t="inlineStr">
        <is>
          <t>Pen 2</t>
        </is>
      </c>
      <c r="B3" s="7">
        <f>SUMPRODUCT((INDEX!$E$6:$E$74=$A3)*(INDEX!$K$6:$K$74&lt;&gt;""))</f>
        <v/>
      </c>
      <c r="C3" s="25">
        <f>IF(B3=0,"",SUMPRODUCT((INDEX!$E$6:$E$74=$A3)*(INDEX!$K$6:$K$74))/B3)</f>
        <v/>
      </c>
      <c r="D3" s="25">
        <f>IF(B3&lt;=1,"",SQRT(IF(B3&lt;=1,"",SUMPRODUCT((INDEX!$E$6:$E$74=$A3)*(INDEX!$K$6:$K$74-C3)^2)/(B3-1))))</f>
        <v/>
      </c>
      <c r="E3" s="7">
        <f>SUMPRODUCT((INDEX!$E$6:$E$74=$A3)*(INDEX!$L$6:$L$74&lt;&gt;""))</f>
        <v/>
      </c>
      <c r="F3" s="7">
        <f>IF(E3=0,"",SUMPRODUCT((INDEX!$E$6:$E$74=$A3)*(INDEX!$L$6:$L$74))/E3)</f>
        <v/>
      </c>
      <c r="G3" s="7">
        <f>IF(E3&lt;=1,"",SQRT(IF(E3&lt;=1,"",SUMPRODUCT((INDEX!$E$6:$E$74=$A3)*(INDEX!$L$6:$L$74-F3)^2)/(E3-1))))</f>
        <v/>
      </c>
      <c r="H3" s="7">
        <f>SUMPRODUCT((INDEX!$E$6:$E$74=$A3)*(INDEX!$M$6:$M$74&lt;&gt;""))</f>
        <v/>
      </c>
      <c r="I3" s="25">
        <f>IF(H3=0,"",SUMPRODUCT((INDEX!$E$6:$E$74=$A3)*(INDEX!$M$6:$M$74))/H3)</f>
        <v/>
      </c>
      <c r="J3" s="25">
        <f>IF(H3&lt;=1,"",SQRT(IF(H3&lt;=1,"",SUMPRODUCT((INDEX!$E$6:$E$74=$A3)*(INDEX!$M$6:$M$74-I3)^2)/(H3-1))))</f>
        <v/>
      </c>
      <c r="K3" s="7">
        <f>SUMPRODUCT((INDEX!$E$6:$E$74=$A3)*(INDEX!$N$6:$N$74&lt;&gt;""))</f>
        <v/>
      </c>
      <c r="L3" s="29">
        <f>IF(K3=0,"",SUMPRODUCT((INDEX!$E$6:$E$74=$A3)*(INDEX!$N$6:$N$74))/K3)</f>
        <v/>
      </c>
      <c r="M3" s="29">
        <f>IF(K3&lt;=1,"",SQRT(IF(K3&lt;=1,"",SUMPRODUCT((INDEX!$E$6:$E$74=$A3)*(INDEX!$N$6:$N$74-L3)^2)/(K3-1))))</f>
        <v/>
      </c>
      <c r="N3" s="7">
        <f>SUMPRODUCT((INDEX!$E$6:$E$74=$A3)*(INDEX!$O$6:$O$74&lt;&gt;""))</f>
        <v/>
      </c>
      <c r="O3" s="27">
        <f>IF(N3=0,"",SUMPRODUCT((INDEX!$E$6:$E$74=$A3)*(INDEX!$O$6:$O$74))/N3)</f>
        <v/>
      </c>
      <c r="P3" s="27">
        <f>IF(N3&lt;=1,"",SQRT(IF(N3&lt;=1,"",SUMPRODUCT((INDEX!$E$6:$E$74=$A3)*(INDEX!$O$6:$O$74-O3)^2)/(N3-1))))</f>
        <v/>
      </c>
      <c r="Q3" s="7">
        <f>SUMPRODUCT((INDEX!$E$6:$E$74=$A3)*(INDEX!$P$6:$P$74&lt;&gt;""))</f>
        <v/>
      </c>
      <c r="R3" s="25">
        <f>IF(Q3=0,"",SUMPRODUCT((INDEX!$E$6:$E$74=$A3)*(INDEX!$P$6:$P$74))/Q3)</f>
        <v/>
      </c>
      <c r="S3" s="25">
        <f>IF(Q3&lt;=1,"",SQRT(IF(Q3&lt;=1,"",SUMPRODUCT((INDEX!$E$6:$E$74=$A3)*(INDEX!$P$6:$P$74-R3)^2)/(Q3-1))))</f>
        <v/>
      </c>
      <c r="T3" s="7">
        <f>SUMPRODUCT((INDEX!$E$6:$E$74=$A3)*(INDEX!$Q$6:$Q$74&lt;&gt;""))</f>
        <v/>
      </c>
      <c r="U3" s="27">
        <f>IF(T3=0,"",SUMPRODUCT((INDEX!$E$6:$E$74=$A3)*(INDEX!$Q$6:$Q$74))/T3)</f>
        <v/>
      </c>
      <c r="V3" s="27">
        <f>IF(T3&lt;=1,"",SQRT(IF(T3&lt;=1,"",SUMPRODUCT((INDEX!$E$6:$E$74=$A3)*(INDEX!$Q$6:$Q$74-U3)^2)/(T3-1))))</f>
        <v/>
      </c>
    </row>
    <row r="4">
      <c r="A4" s="5" t="inlineStr">
        <is>
          <t>Pen 3</t>
        </is>
      </c>
      <c r="B4" s="7">
        <f>SUMPRODUCT((INDEX!$E$6:$E$74=$A4)*(INDEX!$K$6:$K$74&lt;&gt;""))</f>
        <v/>
      </c>
      <c r="C4" s="25">
        <f>IF(B4=0,"",SUMPRODUCT((INDEX!$E$6:$E$74=$A4)*(INDEX!$K$6:$K$74))/B4)</f>
        <v/>
      </c>
      <c r="D4" s="25">
        <f>IF(B4&lt;=1,"",SQRT(IF(B4&lt;=1,"",SUMPRODUCT((INDEX!$E$6:$E$74=$A4)*(INDEX!$K$6:$K$74-C4)^2)/(B4-1))))</f>
        <v/>
      </c>
      <c r="E4" s="7">
        <f>SUMPRODUCT((INDEX!$E$6:$E$74=$A4)*(INDEX!$L$6:$L$74&lt;&gt;""))</f>
        <v/>
      </c>
      <c r="F4" s="7">
        <f>IF(E4=0,"",SUMPRODUCT((INDEX!$E$6:$E$74=$A4)*(INDEX!$L$6:$L$74))/E4)</f>
        <v/>
      </c>
      <c r="G4" s="7">
        <f>IF(E4&lt;=1,"",SQRT(IF(E4&lt;=1,"",SUMPRODUCT((INDEX!$E$6:$E$74=$A4)*(INDEX!$L$6:$L$74-F4)^2)/(E4-1))))</f>
        <v/>
      </c>
      <c r="H4" s="7">
        <f>SUMPRODUCT((INDEX!$E$6:$E$74=$A4)*(INDEX!$M$6:$M$74&lt;&gt;""))</f>
        <v/>
      </c>
      <c r="I4" s="25">
        <f>IF(H4=0,"",SUMPRODUCT((INDEX!$E$6:$E$74=$A4)*(INDEX!$M$6:$M$74))/H4)</f>
        <v/>
      </c>
      <c r="J4" s="25">
        <f>IF(H4&lt;=1,"",SQRT(IF(H4&lt;=1,"",SUMPRODUCT((INDEX!$E$6:$E$74=$A4)*(INDEX!$M$6:$M$74-I4)^2)/(H4-1))))</f>
        <v/>
      </c>
      <c r="K4" s="7">
        <f>SUMPRODUCT((INDEX!$E$6:$E$74=$A4)*(INDEX!$N$6:$N$74&lt;&gt;""))</f>
        <v/>
      </c>
      <c r="L4" s="29">
        <f>IF(K4=0,"",SUMPRODUCT((INDEX!$E$6:$E$74=$A4)*(INDEX!$N$6:$N$74))/K4)</f>
        <v/>
      </c>
      <c r="M4" s="29">
        <f>IF(K4&lt;=1,"",SQRT(IF(K4&lt;=1,"",SUMPRODUCT((INDEX!$E$6:$E$74=$A4)*(INDEX!$N$6:$N$74-L4)^2)/(K4-1))))</f>
        <v/>
      </c>
      <c r="N4" s="7">
        <f>SUMPRODUCT((INDEX!$E$6:$E$74=$A4)*(INDEX!$O$6:$O$74&lt;&gt;""))</f>
        <v/>
      </c>
      <c r="O4" s="27">
        <f>IF(N4=0,"",SUMPRODUCT((INDEX!$E$6:$E$74=$A4)*(INDEX!$O$6:$O$74))/N4)</f>
        <v/>
      </c>
      <c r="P4" s="27">
        <f>IF(N4&lt;=1,"",SQRT(IF(N4&lt;=1,"",SUMPRODUCT((INDEX!$E$6:$E$74=$A4)*(INDEX!$O$6:$O$74-O4)^2)/(N4-1))))</f>
        <v/>
      </c>
      <c r="Q4" s="7">
        <f>SUMPRODUCT((INDEX!$E$6:$E$74=$A4)*(INDEX!$P$6:$P$74&lt;&gt;""))</f>
        <v/>
      </c>
      <c r="R4" s="25">
        <f>IF(Q4=0,"",SUMPRODUCT((INDEX!$E$6:$E$74=$A4)*(INDEX!$P$6:$P$74))/Q4)</f>
        <v/>
      </c>
      <c r="S4" s="25">
        <f>IF(Q4&lt;=1,"",SQRT(IF(Q4&lt;=1,"",SUMPRODUCT((INDEX!$E$6:$E$74=$A4)*(INDEX!$P$6:$P$74-R4)^2)/(Q4-1))))</f>
        <v/>
      </c>
      <c r="T4" s="7">
        <f>SUMPRODUCT((INDEX!$E$6:$E$74=$A4)*(INDEX!$Q$6:$Q$74&lt;&gt;""))</f>
        <v/>
      </c>
      <c r="U4" s="27">
        <f>IF(T4=0,"",SUMPRODUCT((INDEX!$E$6:$E$74=$A4)*(INDEX!$Q$6:$Q$74))/T4)</f>
        <v/>
      </c>
      <c r="V4" s="27">
        <f>IF(T4&lt;=1,"",SQRT(IF(T4&lt;=1,"",SUMPRODUCT((INDEX!$E$6:$E$74=$A4)*(INDEX!$Q$6:$Q$74-U4)^2)/(T4-1))))</f>
        <v/>
      </c>
    </row>
    <row r="5">
      <c r="A5" s="5" t="inlineStr">
        <is>
          <t>Pen 4</t>
        </is>
      </c>
      <c r="B5" s="7">
        <f>SUMPRODUCT((INDEX!$E$6:$E$74=$A5)*(INDEX!$K$6:$K$74&lt;&gt;""))</f>
        <v/>
      </c>
      <c r="C5" s="25">
        <f>IF(B5=0,"",SUMPRODUCT((INDEX!$E$6:$E$74=$A5)*(INDEX!$K$6:$K$74))/B5)</f>
        <v/>
      </c>
      <c r="D5" s="25">
        <f>IF(B5&lt;=1,"",SQRT(IF(B5&lt;=1,"",SUMPRODUCT((INDEX!$E$6:$E$74=$A5)*(INDEX!$K$6:$K$74-C5)^2)/(B5-1))))</f>
        <v/>
      </c>
      <c r="E5" s="7">
        <f>SUMPRODUCT((INDEX!$E$6:$E$74=$A5)*(INDEX!$L$6:$L$74&lt;&gt;""))</f>
        <v/>
      </c>
      <c r="F5" s="7">
        <f>IF(E5=0,"",SUMPRODUCT((INDEX!$E$6:$E$74=$A5)*(INDEX!$L$6:$L$74))/E5)</f>
        <v/>
      </c>
      <c r="G5" s="7">
        <f>IF(E5&lt;=1,"",SQRT(IF(E5&lt;=1,"",SUMPRODUCT((INDEX!$E$6:$E$74=$A5)*(INDEX!$L$6:$L$74-F5)^2)/(E5-1))))</f>
        <v/>
      </c>
      <c r="H5" s="7">
        <f>SUMPRODUCT((INDEX!$E$6:$E$74=$A5)*(INDEX!$M$6:$M$74&lt;&gt;""))</f>
        <v/>
      </c>
      <c r="I5" s="25">
        <f>IF(H5=0,"",SUMPRODUCT((INDEX!$E$6:$E$74=$A5)*(INDEX!$M$6:$M$74))/H5)</f>
        <v/>
      </c>
      <c r="J5" s="25">
        <f>IF(H5&lt;=1,"",SQRT(IF(H5&lt;=1,"",SUMPRODUCT((INDEX!$E$6:$E$74=$A5)*(INDEX!$M$6:$M$74-I5)^2)/(H5-1))))</f>
        <v/>
      </c>
      <c r="K5" s="7">
        <f>SUMPRODUCT((INDEX!$E$6:$E$74=$A5)*(INDEX!$N$6:$N$74&lt;&gt;""))</f>
        <v/>
      </c>
      <c r="L5" s="29">
        <f>IF(K5=0,"",SUMPRODUCT((INDEX!$E$6:$E$74=$A5)*(INDEX!$N$6:$N$74))/K5)</f>
        <v/>
      </c>
      <c r="M5" s="29">
        <f>IF(K5&lt;=1,"",SQRT(IF(K5&lt;=1,"",SUMPRODUCT((INDEX!$E$6:$E$74=$A5)*(INDEX!$N$6:$N$74-L5)^2)/(K5-1))))</f>
        <v/>
      </c>
      <c r="N5" s="7">
        <f>SUMPRODUCT((INDEX!$E$6:$E$74=$A5)*(INDEX!$O$6:$O$74&lt;&gt;""))</f>
        <v/>
      </c>
      <c r="O5" s="27">
        <f>IF(N5=0,"",SUMPRODUCT((INDEX!$E$6:$E$74=$A5)*(INDEX!$O$6:$O$74))/N5)</f>
        <v/>
      </c>
      <c r="P5" s="27">
        <f>IF(N5&lt;=1,"",SQRT(IF(N5&lt;=1,"",SUMPRODUCT((INDEX!$E$6:$E$74=$A5)*(INDEX!$O$6:$O$74-O5)^2)/(N5-1))))</f>
        <v/>
      </c>
      <c r="Q5" s="7">
        <f>SUMPRODUCT((INDEX!$E$6:$E$74=$A5)*(INDEX!$P$6:$P$74&lt;&gt;""))</f>
        <v/>
      </c>
      <c r="R5" s="25">
        <f>IF(Q5=0,"",SUMPRODUCT((INDEX!$E$6:$E$74=$A5)*(INDEX!$P$6:$P$74))/Q5)</f>
        <v/>
      </c>
      <c r="S5" s="25">
        <f>IF(Q5&lt;=1,"",SQRT(IF(Q5&lt;=1,"",SUMPRODUCT((INDEX!$E$6:$E$74=$A5)*(INDEX!$P$6:$P$74-R5)^2)/(Q5-1))))</f>
        <v/>
      </c>
      <c r="T5" s="7">
        <f>SUMPRODUCT((INDEX!$E$6:$E$74=$A5)*(INDEX!$Q$6:$Q$74&lt;&gt;""))</f>
        <v/>
      </c>
      <c r="U5" s="27">
        <f>IF(T5=0,"",SUMPRODUCT((INDEX!$E$6:$E$74=$A5)*(INDEX!$Q$6:$Q$74))/T5)</f>
        <v/>
      </c>
      <c r="V5" s="27">
        <f>IF(T5&lt;=1,"",SQRT(IF(T5&lt;=1,"",SUMPRODUCT((INDEX!$E$6:$E$74=$A5)*(INDEX!$Q$6:$Q$74-U5)^2)/(T5-1))))</f>
        <v/>
      </c>
    </row>
    <row r="6">
      <c r="A6" s="5" t="inlineStr">
        <is>
          <t>Pen 5</t>
        </is>
      </c>
      <c r="B6" s="7">
        <f>SUMPRODUCT((INDEX!$E$6:$E$74=$A6)*(INDEX!$K$6:$K$74&lt;&gt;""))</f>
        <v/>
      </c>
      <c r="C6" s="25">
        <f>IF(B6=0,"",SUMPRODUCT((INDEX!$E$6:$E$74=$A6)*(INDEX!$K$6:$K$74))/B6)</f>
        <v/>
      </c>
      <c r="D6" s="25">
        <f>IF(B6&lt;=1,"",SQRT(IF(B6&lt;=1,"",SUMPRODUCT((INDEX!$E$6:$E$74=$A6)*(INDEX!$K$6:$K$74-C6)^2)/(B6-1))))</f>
        <v/>
      </c>
      <c r="E6" s="7">
        <f>SUMPRODUCT((INDEX!$E$6:$E$74=$A6)*(INDEX!$L$6:$L$74&lt;&gt;""))</f>
        <v/>
      </c>
      <c r="F6" s="7">
        <f>IF(E6=0,"",SUMPRODUCT((INDEX!$E$6:$E$74=$A6)*(INDEX!$L$6:$L$74))/E6)</f>
        <v/>
      </c>
      <c r="G6" s="7">
        <f>IF(E6&lt;=1,"",SQRT(IF(E6&lt;=1,"",SUMPRODUCT((INDEX!$E$6:$E$74=$A6)*(INDEX!$L$6:$L$74-F6)^2)/(E6-1))))</f>
        <v/>
      </c>
      <c r="H6" s="7">
        <f>SUMPRODUCT((INDEX!$E$6:$E$74=$A6)*(INDEX!$M$6:$M$74&lt;&gt;""))</f>
        <v/>
      </c>
      <c r="I6" s="25">
        <f>IF(H6=0,"",SUMPRODUCT((INDEX!$E$6:$E$74=$A6)*(INDEX!$M$6:$M$74))/H6)</f>
        <v/>
      </c>
      <c r="J6" s="25">
        <f>IF(H6&lt;=1,"",SQRT(IF(H6&lt;=1,"",SUMPRODUCT((INDEX!$E$6:$E$74=$A6)*(INDEX!$M$6:$M$74-I6)^2)/(H6-1))))</f>
        <v/>
      </c>
      <c r="K6" s="7">
        <f>SUMPRODUCT((INDEX!$E$6:$E$74=$A6)*(INDEX!$N$6:$N$74&lt;&gt;""))</f>
        <v/>
      </c>
      <c r="L6" s="29">
        <f>IF(K6=0,"",SUMPRODUCT((INDEX!$E$6:$E$74=$A6)*(INDEX!$N$6:$N$74))/K6)</f>
        <v/>
      </c>
      <c r="M6" s="29">
        <f>IF(K6&lt;=1,"",SQRT(IF(K6&lt;=1,"",SUMPRODUCT((INDEX!$E$6:$E$74=$A6)*(INDEX!$N$6:$N$74-L6)^2)/(K6-1))))</f>
        <v/>
      </c>
      <c r="N6" s="7">
        <f>SUMPRODUCT((INDEX!$E$6:$E$74=$A6)*(INDEX!$O$6:$O$74&lt;&gt;""))</f>
        <v/>
      </c>
      <c r="O6" s="27">
        <f>IF(N6=0,"",SUMPRODUCT((INDEX!$E$6:$E$74=$A6)*(INDEX!$O$6:$O$74))/N6)</f>
        <v/>
      </c>
      <c r="P6" s="27">
        <f>IF(N6&lt;=1,"",SQRT(IF(N6&lt;=1,"",SUMPRODUCT((INDEX!$E$6:$E$74=$A6)*(INDEX!$O$6:$O$74-O6)^2)/(N6-1))))</f>
        <v/>
      </c>
      <c r="Q6" s="7">
        <f>SUMPRODUCT((INDEX!$E$6:$E$74=$A6)*(INDEX!$P$6:$P$74&lt;&gt;""))</f>
        <v/>
      </c>
      <c r="R6" s="25">
        <f>IF(Q6=0,"",SUMPRODUCT((INDEX!$E$6:$E$74=$A6)*(INDEX!$P$6:$P$74))/Q6)</f>
        <v/>
      </c>
      <c r="S6" s="25">
        <f>IF(Q6&lt;=1,"",SQRT(IF(Q6&lt;=1,"",SUMPRODUCT((INDEX!$E$6:$E$74=$A6)*(INDEX!$P$6:$P$74-R6)^2)/(Q6-1))))</f>
        <v/>
      </c>
      <c r="T6" s="7">
        <f>SUMPRODUCT((INDEX!$E$6:$E$74=$A6)*(INDEX!$Q$6:$Q$74&lt;&gt;""))</f>
        <v/>
      </c>
      <c r="U6" s="27">
        <f>IF(T6=0,"",SUMPRODUCT((INDEX!$E$6:$E$74=$A6)*(INDEX!$Q$6:$Q$74))/T6)</f>
        <v/>
      </c>
      <c r="V6" s="27">
        <f>IF(T6&lt;=1,"",SQRT(IF(T6&lt;=1,"",SUMPRODUCT((INDEX!$E$6:$E$74=$A6)*(INDEX!$Q$6:$Q$74-U6)^2)/(T6-1))))</f>
        <v/>
      </c>
    </row>
    <row r="7">
      <c r="A7" s="5" t="inlineStr">
        <is>
          <t>Pen 6</t>
        </is>
      </c>
      <c r="B7" s="7">
        <f>SUMPRODUCT((INDEX!$E$6:$E$74=$A7)*(INDEX!$K$6:$K$74&lt;&gt;""))</f>
        <v/>
      </c>
      <c r="C7" s="25">
        <f>IF(B7=0,"",SUMPRODUCT((INDEX!$E$6:$E$74=$A7)*(INDEX!$K$6:$K$74))/B7)</f>
        <v/>
      </c>
      <c r="D7" s="25">
        <f>IF(B7&lt;=1,"",SQRT(IF(B7&lt;=1,"",SUMPRODUCT((INDEX!$E$6:$E$74=$A7)*(INDEX!$K$6:$K$74-C7)^2)/(B7-1))))</f>
        <v/>
      </c>
      <c r="E7" s="7">
        <f>SUMPRODUCT((INDEX!$E$6:$E$74=$A7)*(INDEX!$L$6:$L$74&lt;&gt;""))</f>
        <v/>
      </c>
      <c r="F7" s="7">
        <f>IF(E7=0,"",SUMPRODUCT((INDEX!$E$6:$E$74=$A7)*(INDEX!$L$6:$L$74))/E7)</f>
        <v/>
      </c>
      <c r="G7" s="7">
        <f>IF(E7&lt;=1,"",SQRT(IF(E7&lt;=1,"",SUMPRODUCT((INDEX!$E$6:$E$74=$A7)*(INDEX!$L$6:$L$74-F7)^2)/(E7-1))))</f>
        <v/>
      </c>
      <c r="H7" s="7">
        <f>SUMPRODUCT((INDEX!$E$6:$E$74=$A7)*(INDEX!$M$6:$M$74&lt;&gt;""))</f>
        <v/>
      </c>
      <c r="I7" s="25">
        <f>IF(H7=0,"",SUMPRODUCT((INDEX!$E$6:$E$74=$A7)*(INDEX!$M$6:$M$74))/H7)</f>
        <v/>
      </c>
      <c r="J7" s="25">
        <f>IF(H7&lt;=1,"",SQRT(IF(H7&lt;=1,"",SUMPRODUCT((INDEX!$E$6:$E$74=$A7)*(INDEX!$M$6:$M$74-I7)^2)/(H7-1))))</f>
        <v/>
      </c>
      <c r="K7" s="7">
        <f>SUMPRODUCT((INDEX!$E$6:$E$74=$A7)*(INDEX!$N$6:$N$74&lt;&gt;""))</f>
        <v/>
      </c>
      <c r="L7" s="29">
        <f>IF(K7=0,"",SUMPRODUCT((INDEX!$E$6:$E$74=$A7)*(INDEX!$N$6:$N$74))/K7)</f>
        <v/>
      </c>
      <c r="M7" s="29">
        <f>IF(K7&lt;=1,"",SQRT(IF(K7&lt;=1,"",SUMPRODUCT((INDEX!$E$6:$E$74=$A7)*(INDEX!$N$6:$N$74-L7)^2)/(K7-1))))</f>
        <v/>
      </c>
      <c r="N7" s="7">
        <f>SUMPRODUCT((INDEX!$E$6:$E$74=$A7)*(INDEX!$O$6:$O$74&lt;&gt;""))</f>
        <v/>
      </c>
      <c r="O7" s="27">
        <f>IF(N7=0,"",SUMPRODUCT((INDEX!$E$6:$E$74=$A7)*(INDEX!$O$6:$O$74))/N7)</f>
        <v/>
      </c>
      <c r="P7" s="27">
        <f>IF(N7&lt;=1,"",SQRT(IF(N7&lt;=1,"",SUMPRODUCT((INDEX!$E$6:$E$74=$A7)*(INDEX!$O$6:$O$74-O7)^2)/(N7-1))))</f>
        <v/>
      </c>
      <c r="Q7" s="7">
        <f>SUMPRODUCT((INDEX!$E$6:$E$74=$A7)*(INDEX!$P$6:$P$74&lt;&gt;""))</f>
        <v/>
      </c>
      <c r="R7" s="25">
        <f>IF(Q7=0,"",SUMPRODUCT((INDEX!$E$6:$E$74=$A7)*(INDEX!$P$6:$P$74))/Q7)</f>
        <v/>
      </c>
      <c r="S7" s="25">
        <f>IF(Q7&lt;=1,"",SQRT(IF(Q7&lt;=1,"",SUMPRODUCT((INDEX!$E$6:$E$74=$A7)*(INDEX!$P$6:$P$74-R7)^2)/(Q7-1))))</f>
        <v/>
      </c>
      <c r="T7" s="7">
        <f>SUMPRODUCT((INDEX!$E$6:$E$74=$A7)*(INDEX!$Q$6:$Q$74&lt;&gt;""))</f>
        <v/>
      </c>
      <c r="U7" s="27">
        <f>IF(T7=0,"",SUMPRODUCT((INDEX!$E$6:$E$74=$A7)*(INDEX!$Q$6:$Q$74))/T7)</f>
        <v/>
      </c>
      <c r="V7" s="27">
        <f>IF(T7&lt;=1,"",SQRT(IF(T7&lt;=1,"",SUMPRODUCT((INDEX!$E$6:$E$74=$A7)*(INDEX!$Q$6:$Q$74-U7)^2)/(T7-1))))</f>
        <v/>
      </c>
    </row>
    <row r="8">
      <c r="A8" s="5" t="inlineStr">
        <is>
          <t>Tree Fort</t>
        </is>
      </c>
      <c r="B8" s="7">
        <f>SUMPRODUCT((INDEX!$E$6:$E$74=$A8)*(INDEX!$K$6:$K$74&lt;&gt;""))</f>
        <v/>
      </c>
      <c r="C8" s="25">
        <f>IF(B8=0,"",SUMPRODUCT((INDEX!$E$6:$E$74=$A8)*(INDEX!$K$6:$K$74))/B8)</f>
        <v/>
      </c>
      <c r="D8" s="25">
        <f>IF(B8&lt;=1,"",SQRT(IF(B8&lt;=1,"",SUMPRODUCT((INDEX!$E$6:$E$74=$A8)*(INDEX!$K$6:$K$74-C8)^2)/(B8-1))))</f>
        <v/>
      </c>
      <c r="E8" s="7">
        <f>SUMPRODUCT((INDEX!$E$6:$E$74=$A8)*(INDEX!$L$6:$L$74&lt;&gt;""))</f>
        <v/>
      </c>
      <c r="F8" s="7">
        <f>IF(E8=0,"",SUMPRODUCT((INDEX!$E$6:$E$74=$A8)*(INDEX!$L$6:$L$74))/E8)</f>
        <v/>
      </c>
      <c r="G8" s="7">
        <f>IF(E8&lt;=1,"",SQRT(IF(E8&lt;=1,"",SUMPRODUCT((INDEX!$E$6:$E$74=$A8)*(INDEX!$L$6:$L$74-F8)^2)/(E8-1))))</f>
        <v/>
      </c>
      <c r="H8" s="7">
        <f>SUMPRODUCT((INDEX!$E$6:$E$74=$A8)*(INDEX!$M$6:$M$74&lt;&gt;""))</f>
        <v/>
      </c>
      <c r="I8" s="25">
        <f>IF(H8=0,"",SUMPRODUCT((INDEX!$E$6:$E$74=$A8)*(INDEX!$M$6:$M$74))/H8)</f>
        <v/>
      </c>
      <c r="J8" s="25">
        <f>IF(H8&lt;=1,"",SQRT(IF(H8&lt;=1,"",SUMPRODUCT((INDEX!$E$6:$E$74=$A8)*(INDEX!$M$6:$M$74-I8)^2)/(H8-1))))</f>
        <v/>
      </c>
      <c r="K8" s="7">
        <f>SUMPRODUCT((INDEX!$E$6:$E$74=$A8)*(INDEX!$N$6:$N$74&lt;&gt;""))</f>
        <v/>
      </c>
      <c r="L8" s="29">
        <f>IF(K8=0,"",SUMPRODUCT((INDEX!$E$6:$E$74=$A8)*(INDEX!$N$6:$N$74))/K8)</f>
        <v/>
      </c>
      <c r="M8" s="29">
        <f>IF(K8&lt;=1,"",SQRT(IF(K8&lt;=1,"",SUMPRODUCT((INDEX!$E$6:$E$74=$A8)*(INDEX!$N$6:$N$74-L8)^2)/(K8-1))))</f>
        <v/>
      </c>
      <c r="N8" s="7">
        <f>SUMPRODUCT((INDEX!$E$6:$E$74=$A8)*(INDEX!$O$6:$O$74&lt;&gt;""))</f>
        <v/>
      </c>
      <c r="O8" s="27">
        <f>IF(N8=0,"",SUMPRODUCT((INDEX!$E$6:$E$74=$A8)*(INDEX!$O$6:$O$74))/N8)</f>
        <v/>
      </c>
      <c r="P8" s="27">
        <f>IF(N8&lt;=1,"",SQRT(IF(N8&lt;=1,"",SUMPRODUCT((INDEX!$E$6:$E$74=$A8)*(INDEX!$O$6:$O$74-O8)^2)/(N8-1))))</f>
        <v/>
      </c>
      <c r="Q8" s="7">
        <f>SUMPRODUCT((INDEX!$E$6:$E$74=$A8)*(INDEX!$P$6:$P$74&lt;&gt;""))</f>
        <v/>
      </c>
      <c r="R8" s="25">
        <f>IF(Q8=0,"",SUMPRODUCT((INDEX!$E$6:$E$74=$A8)*(INDEX!$P$6:$P$74))/Q8)</f>
        <v/>
      </c>
      <c r="S8" s="25">
        <f>IF(Q8&lt;=1,"",SQRT(IF(Q8&lt;=1,"",SUMPRODUCT((INDEX!$E$6:$E$74=$A8)*(INDEX!$P$6:$P$74-R8)^2)/(Q8-1))))</f>
        <v/>
      </c>
      <c r="T8" s="7">
        <f>SUMPRODUCT((INDEX!$E$6:$E$74=$A8)*(INDEX!$Q$6:$Q$74&lt;&gt;""))</f>
        <v/>
      </c>
      <c r="U8" s="27">
        <f>IF(T8=0,"",SUMPRODUCT((INDEX!$E$6:$E$74=$A8)*(INDEX!$Q$6:$Q$74))/T8)</f>
        <v/>
      </c>
      <c r="V8" s="27">
        <f>IF(T8&lt;=1,"",SQRT(IF(T8&lt;=1,"",SUMPRODUCT((INDEX!$E$6:$E$74=$A8)*(INDEX!$Q$6:$Q$74-U8)^2)/(T8-1))))</f>
        <v/>
      </c>
    </row>
    <row r="9">
      <c r="A9" s="5" t="inlineStr">
        <is>
          <t>Goose Pen</t>
        </is>
      </c>
      <c r="B9" s="7">
        <f>SUMPRODUCT((INDEX!$E$6:$E$74=$A9)*(INDEX!$K$6:$K$74&lt;&gt;""))</f>
        <v/>
      </c>
      <c r="C9" s="25">
        <f>IF(B9=0,"",SUMPRODUCT((INDEX!$E$6:$E$74=$A9)*(INDEX!$K$6:$K$74))/B9)</f>
        <v/>
      </c>
      <c r="D9" s="25">
        <f>IF(B9&lt;=1,"",SQRT(IF(B9&lt;=1,"",SUMPRODUCT((INDEX!$E$6:$E$74=$A9)*(INDEX!$K$6:$K$74-C9)^2)/(B9-1))))</f>
        <v/>
      </c>
      <c r="E9" s="7">
        <f>SUMPRODUCT((INDEX!$E$6:$E$74=$A9)*(INDEX!$L$6:$L$74&lt;&gt;""))</f>
        <v/>
      </c>
      <c r="F9" s="7">
        <f>IF(E9=0,"",SUMPRODUCT((INDEX!$E$6:$E$74=$A9)*(INDEX!$L$6:$L$74))/E9)</f>
        <v/>
      </c>
      <c r="G9" s="7">
        <f>IF(E9&lt;=1,"",SQRT(IF(E9&lt;=1,"",SUMPRODUCT((INDEX!$E$6:$E$74=$A9)*(INDEX!$L$6:$L$74-F9)^2)/(E9-1))))</f>
        <v/>
      </c>
      <c r="H9" s="7">
        <f>SUMPRODUCT((INDEX!$E$6:$E$74=$A9)*(INDEX!$M$6:$M$74&lt;&gt;""))</f>
        <v/>
      </c>
      <c r="I9" s="25">
        <f>IF(H9=0,"",SUMPRODUCT((INDEX!$E$6:$E$74=$A9)*(INDEX!$M$6:$M$74))/H9)</f>
        <v/>
      </c>
      <c r="J9" s="25">
        <f>IF(H9&lt;=1,"",SQRT(IF(H9&lt;=1,"",SUMPRODUCT((INDEX!$E$6:$E$74=$A9)*(INDEX!$M$6:$M$74-I9)^2)/(H9-1))))</f>
        <v/>
      </c>
      <c r="K9" s="7">
        <f>SUMPRODUCT((INDEX!$E$6:$E$74=$A9)*(INDEX!$N$6:$N$74&lt;&gt;""))</f>
        <v/>
      </c>
      <c r="L9" s="29">
        <f>IF(K9=0,"",SUMPRODUCT((INDEX!$E$6:$E$74=$A9)*(INDEX!$N$6:$N$74))/K9)</f>
        <v/>
      </c>
      <c r="M9" s="29">
        <f>IF(K9&lt;=1,"",SQRT(IF(K9&lt;=1,"",SUMPRODUCT((INDEX!$E$6:$E$74=$A9)*(INDEX!$N$6:$N$74-L9)^2)/(K9-1))))</f>
        <v/>
      </c>
      <c r="N9" s="7">
        <f>SUMPRODUCT((INDEX!$E$6:$E$74=$A9)*(INDEX!$O$6:$O$74&lt;&gt;""))</f>
        <v/>
      </c>
      <c r="O9" s="27">
        <f>IF(N9=0,"",SUMPRODUCT((INDEX!$E$6:$E$74=$A9)*(INDEX!$O$6:$O$74))/N9)</f>
        <v/>
      </c>
      <c r="P9" s="27">
        <f>IF(N9&lt;=1,"",SQRT(IF(N9&lt;=1,"",SUMPRODUCT((INDEX!$E$6:$E$74=$A9)*(INDEX!$O$6:$O$74-O9)^2)/(N9-1))))</f>
        <v/>
      </c>
      <c r="Q9" s="7">
        <f>SUMPRODUCT((INDEX!$E$6:$E$74=$A9)*(INDEX!$P$6:$P$74&lt;&gt;""))</f>
        <v/>
      </c>
      <c r="R9" s="25">
        <f>IF(Q9=0,"",SUMPRODUCT((INDEX!$E$6:$E$74=$A9)*(INDEX!$P$6:$P$74))/Q9)</f>
        <v/>
      </c>
      <c r="S9" s="25">
        <f>IF(Q9&lt;=1,"",SQRT(IF(Q9&lt;=1,"",SUMPRODUCT((INDEX!$E$6:$E$74=$A9)*(INDEX!$P$6:$P$74-R9)^2)/(Q9-1))))</f>
        <v/>
      </c>
      <c r="T9" s="7">
        <f>SUMPRODUCT((INDEX!$E$6:$E$74=$A9)*(INDEX!$Q$6:$Q$74&lt;&gt;""))</f>
        <v/>
      </c>
      <c r="U9" s="27">
        <f>IF(T9=0,"",SUMPRODUCT((INDEX!$E$6:$E$74=$A9)*(INDEX!$Q$6:$Q$74))/T9)</f>
        <v/>
      </c>
      <c r="V9" s="27">
        <f>IF(T9&lt;=1,"",SQRT(IF(T9&lt;=1,"",SUMPRODUCT((INDEX!$E$6:$E$74=$A9)*(INDEX!$Q$6:$Q$74-U9)^2)/(T9-1))))</f>
        <v/>
      </c>
    </row>
    <row r="10">
      <c r="A10" s="5" t="inlineStr">
        <is>
          <t>Other</t>
        </is>
      </c>
      <c r="B10" s="7">
        <f>SUMPRODUCT((INDEX!$E$6:$E$74=$A10)*(INDEX!$K$6:$K$74&lt;&gt;""))</f>
        <v/>
      </c>
      <c r="C10" s="25">
        <f>IF(B10=0,"",SUMPRODUCT((INDEX!$E$6:$E$74=$A10)*(INDEX!$K$6:$K$74))/B10)</f>
        <v/>
      </c>
      <c r="D10" s="25">
        <f>IF(B10&lt;=1,"",SQRT(IF(B10&lt;=1,"",SUMPRODUCT((INDEX!$E$6:$E$74=$A10)*(INDEX!$K$6:$K$74-C10)^2)/(B10-1))))</f>
        <v/>
      </c>
      <c r="E10" s="7">
        <f>SUMPRODUCT((INDEX!$E$6:$E$74=$A10)*(INDEX!$L$6:$L$74&lt;&gt;""))</f>
        <v/>
      </c>
      <c r="F10" s="7">
        <f>IF(E10=0,"",SUMPRODUCT((INDEX!$E$6:$E$74=$A10)*(INDEX!$L$6:$L$74))/E10)</f>
        <v/>
      </c>
      <c r="G10" s="7">
        <f>IF(E10&lt;=1,"",SQRT(IF(E10&lt;=1,"",SUMPRODUCT((INDEX!$E$6:$E$74=$A10)*(INDEX!$L$6:$L$74-F10)^2)/(E10-1))))</f>
        <v/>
      </c>
      <c r="H10" s="7">
        <f>SUMPRODUCT((INDEX!$E$6:$E$74=$A10)*(INDEX!$M$6:$M$74&lt;&gt;""))</f>
        <v/>
      </c>
      <c r="I10" s="25">
        <f>IF(H10=0,"",SUMPRODUCT((INDEX!$E$6:$E$74=$A10)*(INDEX!$M$6:$M$74))/H10)</f>
        <v/>
      </c>
      <c r="J10" s="25">
        <f>IF(H10&lt;=1,"",SQRT(IF(H10&lt;=1,"",SUMPRODUCT((INDEX!$E$6:$E$74=$A10)*(INDEX!$M$6:$M$74-I10)^2)/(H10-1))))</f>
        <v/>
      </c>
      <c r="K10" s="7">
        <f>SUMPRODUCT((INDEX!$E$6:$E$74=$A10)*(INDEX!$N$6:$N$74&lt;&gt;""))</f>
        <v/>
      </c>
      <c r="L10" s="29">
        <f>IF(K10=0,"",SUMPRODUCT((INDEX!$E$6:$E$74=$A10)*(INDEX!$N$6:$N$74))/K10)</f>
        <v/>
      </c>
      <c r="M10" s="29">
        <f>IF(K10&lt;=1,"",SQRT(IF(K10&lt;=1,"",SUMPRODUCT((INDEX!$E$6:$E$74=$A10)*(INDEX!$N$6:$N$74-L10)^2)/(K10-1))))</f>
        <v/>
      </c>
      <c r="N10" s="7">
        <f>SUMPRODUCT((INDEX!$E$6:$E$74=$A10)*(INDEX!$O$6:$O$74&lt;&gt;""))</f>
        <v/>
      </c>
      <c r="O10" s="27">
        <f>IF(N10=0,"",SUMPRODUCT((INDEX!$E$6:$E$74=$A10)*(INDEX!$O$6:$O$74))/N10)</f>
        <v/>
      </c>
      <c r="P10" s="27">
        <f>IF(N10&lt;=1,"",SQRT(IF(N10&lt;=1,"",SUMPRODUCT((INDEX!$E$6:$E$74=$A10)*(INDEX!$O$6:$O$74-O10)^2)/(N10-1))))</f>
        <v/>
      </c>
      <c r="Q10" s="7">
        <f>SUMPRODUCT((INDEX!$E$6:$E$74=$A10)*(INDEX!$P$6:$P$74&lt;&gt;""))</f>
        <v/>
      </c>
      <c r="R10" s="25">
        <f>IF(Q10=0,"",SUMPRODUCT((INDEX!$E$6:$E$74=$A10)*(INDEX!$P$6:$P$74))/Q10)</f>
        <v/>
      </c>
      <c r="S10" s="25">
        <f>IF(Q10&lt;=1,"",SQRT(IF(Q10&lt;=1,"",SUMPRODUCT((INDEX!$E$6:$E$74=$A10)*(INDEX!$P$6:$P$74-R10)^2)/(Q10-1))))</f>
        <v/>
      </c>
      <c r="T10" s="7">
        <f>SUMPRODUCT((INDEX!$E$6:$E$74=$A10)*(INDEX!$Q$6:$Q$74&lt;&gt;""))</f>
        <v/>
      </c>
      <c r="U10" s="27">
        <f>IF(T10=0,"",SUMPRODUCT((INDEX!$E$6:$E$74=$A10)*(INDEX!$Q$6:$Q$74))/T10)</f>
        <v/>
      </c>
      <c r="V10" s="27">
        <f>IF(T10&lt;=1,"",SQRT(IF(T10&lt;=1,"",SUMPRODUCT((INDEX!$E$6:$E$74=$A10)*(INDEX!$Q$6:$Q$74-U10)^2)/(T10-1))))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2" customWidth="1" min="4" max="4"/>
    <col width="8" customWidth="1" min="5" max="5"/>
    <col width="44" customWidth="1" min="6" max="6"/>
  </cols>
  <sheetData>
    <row r="1">
      <c r="A1" s="4" t="inlineStr">
        <is>
          <t>AnimalID</t>
        </is>
      </c>
      <c r="B1" s="4" t="inlineStr">
        <is>
          <t>Name</t>
        </is>
      </c>
      <c r="C1" s="4" t="inlineStr">
        <is>
          <t>Tag</t>
        </is>
      </c>
      <c r="D1" s="4" t="inlineStr">
        <is>
          <t>Pen</t>
        </is>
      </c>
      <c r="E1" s="4" t="inlineStr">
        <is>
          <t>Sex</t>
        </is>
      </c>
      <c r="F1" s="4" t="inlineStr">
        <is>
          <t>Needs</t>
        </is>
      </c>
    </row>
    <row r="2">
      <c r="A2" s="35" t="inlineStr">
        <is>
          <t>TAG_00110</t>
        </is>
      </c>
      <c r="B2" s="35" t="inlineStr">
        <is>
          <t>00110</t>
        </is>
      </c>
      <c r="C2" s="35" t="inlineStr">
        <is>
          <t>00110</t>
        </is>
      </c>
      <c r="D2" s="35" t="inlineStr">
        <is>
          <t>Pen 1</t>
        </is>
      </c>
      <c r="E2" s="35" t="inlineStr">
        <is>
          <t>R</t>
        </is>
      </c>
      <c r="F2" s="35" t="inlineStr">
        <is>
          <t>DOB missing; Sire/Dam missing</t>
        </is>
      </c>
    </row>
    <row r="3">
      <c r="A3" s="35" t="inlineStr">
        <is>
          <t>P1_TWIN_RAM_BROWNWHITE</t>
        </is>
      </c>
      <c r="B3" s="35" t="inlineStr">
        <is>
          <t>Twin ram (brown &amp; white)</t>
        </is>
      </c>
      <c r="C3" s="35" t="n"/>
      <c r="D3" s="35" t="inlineStr">
        <is>
          <t>Pen 1</t>
        </is>
      </c>
      <c r="E3" s="35" t="inlineStr">
        <is>
          <t>R</t>
        </is>
      </c>
      <c r="F3" s="35" t="inlineStr">
        <is>
          <t>Tag/ID missing; DOB missing; Sire/Dam missing</t>
        </is>
      </c>
    </row>
    <row r="4">
      <c r="A4" s="35" t="inlineStr">
        <is>
          <t>P1_TWIN_RAM_BLACKWHITE</t>
        </is>
      </c>
      <c r="B4" s="35" t="inlineStr">
        <is>
          <t>Twin ram (black &amp; white)</t>
        </is>
      </c>
      <c r="C4" s="35" t="n"/>
      <c r="D4" s="35" t="inlineStr">
        <is>
          <t>Pen 1</t>
        </is>
      </c>
      <c r="E4" s="35" t="inlineStr">
        <is>
          <t>R</t>
        </is>
      </c>
      <c r="F4" s="35" t="inlineStr">
        <is>
          <t>Tag/ID missing; DOB missing; Sire/Dam missing</t>
        </is>
      </c>
    </row>
    <row r="5">
      <c r="A5" s="35" t="inlineStr">
        <is>
          <t>TAG_0003</t>
        </is>
      </c>
      <c r="B5" s="35" t="inlineStr">
        <is>
          <t>003</t>
        </is>
      </c>
      <c r="C5" s="35" t="inlineStr">
        <is>
          <t>003</t>
        </is>
      </c>
      <c r="D5" s="35" t="inlineStr">
        <is>
          <t>Pen 1</t>
        </is>
      </c>
      <c r="E5" s="35" t="inlineStr">
        <is>
          <t>E</t>
        </is>
      </c>
      <c r="F5" s="35" t="inlineStr">
        <is>
          <t>DOB missing; Sire/Dam missing</t>
        </is>
      </c>
    </row>
    <row r="6">
      <c r="A6" s="35" t="inlineStr">
        <is>
          <t>AZURE_0020</t>
        </is>
      </c>
      <c r="B6" s="35" t="inlineStr">
        <is>
          <t>Azure</t>
        </is>
      </c>
      <c r="C6" s="35" t="inlineStr">
        <is>
          <t>20</t>
        </is>
      </c>
      <c r="D6" s="35" t="inlineStr">
        <is>
          <t>Pen 1</t>
        </is>
      </c>
      <c r="E6" s="35" t="inlineStr">
        <is>
          <t>E</t>
        </is>
      </c>
      <c r="F6" s="35" t="inlineStr">
        <is>
          <t>DOB missing; Sire/Dam missing</t>
        </is>
      </c>
    </row>
    <row r="7">
      <c r="A7" s="35" t="inlineStr">
        <is>
          <t>TAG_0044</t>
        </is>
      </c>
      <c r="B7" s="35" t="inlineStr">
        <is>
          <t>0044</t>
        </is>
      </c>
      <c r="C7" s="35" t="inlineStr">
        <is>
          <t>0044</t>
        </is>
      </c>
      <c r="D7" s="35" t="inlineStr">
        <is>
          <t>Pen 1</t>
        </is>
      </c>
      <c r="E7" s="35" t="inlineStr">
        <is>
          <t>E</t>
        </is>
      </c>
      <c r="F7" s="35" t="inlineStr">
        <is>
          <t>DOB missing; Sire/Dam missing</t>
        </is>
      </c>
    </row>
    <row r="8">
      <c r="A8" s="35" t="inlineStr">
        <is>
          <t>CHARLIES_EWE_2</t>
        </is>
      </c>
      <c r="B8" s="35" t="inlineStr">
        <is>
          <t>Charlie's ewe 2</t>
        </is>
      </c>
      <c r="C8" s="35" t="n"/>
      <c r="D8" s="35" t="inlineStr">
        <is>
          <t>Pen 1</t>
        </is>
      </c>
      <c r="E8" s="35" t="inlineStr">
        <is>
          <t>E</t>
        </is>
      </c>
      <c r="F8" s="35" t="inlineStr">
        <is>
          <t>Tag/ID missing; DOB missing; Sire/Dam missing</t>
        </is>
      </c>
    </row>
    <row r="9">
      <c r="A9" s="35" t="inlineStr">
        <is>
          <t>P1_RAM_LAMB_BROWNWHITE_01</t>
        </is>
      </c>
      <c r="B9" s="35" t="inlineStr">
        <is>
          <t>Ram lamb (brown &amp; white)</t>
        </is>
      </c>
      <c r="C9" s="35" t="n"/>
      <c r="D9" s="35" t="inlineStr">
        <is>
          <t>Pen 1</t>
        </is>
      </c>
      <c r="E9" s="35" t="inlineStr">
        <is>
          <t>R</t>
        </is>
      </c>
      <c r="F9" s="35" t="inlineStr">
        <is>
          <t>Tag/ID missing; DOB missing; Sire/Dam missing</t>
        </is>
      </c>
    </row>
    <row r="10">
      <c r="A10" s="35" t="inlineStr">
        <is>
          <t>JERK_FACE</t>
        </is>
      </c>
      <c r="B10" s="35" t="inlineStr">
        <is>
          <t>Jerk Face</t>
        </is>
      </c>
      <c r="C10" s="35" t="n"/>
      <c r="D10" s="35" t="inlineStr">
        <is>
          <t>Pen 2</t>
        </is>
      </c>
      <c r="E10" s="35" t="inlineStr">
        <is>
          <t>R</t>
        </is>
      </c>
      <c r="F10" s="35" t="inlineStr">
        <is>
          <t>Tag/ID missing; DOB missing; Sire/Dam missing</t>
        </is>
      </c>
    </row>
    <row r="11">
      <c r="A11" s="35" t="inlineStr">
        <is>
          <t>TAG_0053</t>
        </is>
      </c>
      <c r="B11" s="35" t="inlineStr">
        <is>
          <t>0053</t>
        </is>
      </c>
      <c r="C11" s="35" t="inlineStr">
        <is>
          <t>0053</t>
        </is>
      </c>
      <c r="D11" s="35" t="inlineStr">
        <is>
          <t>Pen 2</t>
        </is>
      </c>
      <c r="E11" s="35" t="inlineStr">
        <is>
          <t>E</t>
        </is>
      </c>
      <c r="F11" s="35" t="inlineStr">
        <is>
          <t>DOB missing; Sire/Dam missing</t>
        </is>
      </c>
    </row>
    <row r="12">
      <c r="A12" s="35" t="inlineStr">
        <is>
          <t>TAG_0114</t>
        </is>
      </c>
      <c r="B12" s="35" t="inlineStr">
        <is>
          <t>114</t>
        </is>
      </c>
      <c r="C12" s="35" t="inlineStr">
        <is>
          <t>114</t>
        </is>
      </c>
      <c r="D12" s="35" t="inlineStr">
        <is>
          <t>Pen 2</t>
        </is>
      </c>
      <c r="E12" s="35" t="inlineStr">
        <is>
          <t>E</t>
        </is>
      </c>
      <c r="F12" s="35" t="inlineStr">
        <is>
          <t>DOB missing; Sire/Dam missing</t>
        </is>
      </c>
    </row>
    <row r="13">
      <c r="A13" s="35" t="inlineStr">
        <is>
          <t>MERRIE</t>
        </is>
      </c>
      <c r="B13" s="35" t="inlineStr">
        <is>
          <t>Merrie</t>
        </is>
      </c>
      <c r="C13" s="35" t="inlineStr">
        <is>
          <t>00016</t>
        </is>
      </c>
      <c r="D13" s="35" t="inlineStr">
        <is>
          <t>Pen 3</t>
        </is>
      </c>
      <c r="E13" s="35" t="inlineStr">
        <is>
          <t>R</t>
        </is>
      </c>
      <c r="F13" s="35" t="inlineStr">
        <is>
          <t>DOB missing</t>
        </is>
      </c>
    </row>
    <row r="14">
      <c r="A14" s="35" t="inlineStr">
        <is>
          <t>CHARLIE</t>
        </is>
      </c>
      <c r="B14" s="35" t="inlineStr">
        <is>
          <t>Charlie</t>
        </is>
      </c>
      <c r="C14" s="35" t="n"/>
      <c r="D14" s="35" t="inlineStr">
        <is>
          <t>Pen 3</t>
        </is>
      </c>
      <c r="E14" s="35" t="inlineStr">
        <is>
          <t>R</t>
        </is>
      </c>
      <c r="F14" s="35" t="inlineStr">
        <is>
          <t>Tag/ID missing; DOB missing; Sire/Dam missing</t>
        </is>
      </c>
    </row>
    <row r="15">
      <c r="A15" s="35" t="inlineStr">
        <is>
          <t>NORI_0029</t>
        </is>
      </c>
      <c r="B15" s="35" t="inlineStr">
        <is>
          <t>Nori</t>
        </is>
      </c>
      <c r="C15" s="35" t="inlineStr">
        <is>
          <t>0029</t>
        </is>
      </c>
      <c r="D15" s="35" t="inlineStr">
        <is>
          <t>Pen 3</t>
        </is>
      </c>
      <c r="E15" s="35" t="inlineStr">
        <is>
          <t>E</t>
        </is>
      </c>
      <c r="F15" s="35" t="inlineStr">
        <is>
          <t>DOB missing</t>
        </is>
      </c>
    </row>
    <row r="16">
      <c r="A16" s="35" t="inlineStr">
        <is>
          <t>BROKEN_TAIL</t>
        </is>
      </c>
      <c r="B16" s="35" t="inlineStr">
        <is>
          <t>Broken Tail</t>
        </is>
      </c>
      <c r="C16" s="35" t="n"/>
      <c r="D16" s="35" t="inlineStr">
        <is>
          <t>Pen 3</t>
        </is>
      </c>
      <c r="E16" s="35" t="inlineStr">
        <is>
          <t>E</t>
        </is>
      </c>
      <c r="F16" s="35" t="inlineStr">
        <is>
          <t>Tag/ID missing; DOB missing</t>
        </is>
      </c>
    </row>
    <row r="17">
      <c r="A17" s="35" t="inlineStr">
        <is>
          <t>CHARLIES_EWE_1</t>
        </is>
      </c>
      <c r="B17" s="35" t="inlineStr">
        <is>
          <t>Charlie's ewe</t>
        </is>
      </c>
      <c r="C17" s="35" t="n"/>
      <c r="D17" s="35" t="inlineStr">
        <is>
          <t>Pen 3</t>
        </is>
      </c>
      <c r="E17" s="35" t="inlineStr">
        <is>
          <t>E</t>
        </is>
      </c>
      <c r="F17" s="35" t="inlineStr">
        <is>
          <t>Tag/ID missing; DOB missing; Sire/Dam missing</t>
        </is>
      </c>
    </row>
    <row r="18">
      <c r="A18" s="35" t="inlineStr">
        <is>
          <t>TAG_0023</t>
        </is>
      </c>
      <c r="B18" s="35" t="inlineStr">
        <is>
          <t>0023</t>
        </is>
      </c>
      <c r="C18" s="35" t="inlineStr">
        <is>
          <t>0023</t>
        </is>
      </c>
      <c r="D18" s="35" t="inlineStr">
        <is>
          <t>Pen 4</t>
        </is>
      </c>
      <c r="E18" s="35" t="inlineStr">
        <is>
          <t>E</t>
        </is>
      </c>
      <c r="F18" s="35" t="inlineStr">
        <is>
          <t>DOB missing; Sire/Dam missing</t>
        </is>
      </c>
    </row>
    <row r="19">
      <c r="A19" s="35" t="inlineStr">
        <is>
          <t>TAG_0011</t>
        </is>
      </c>
      <c r="B19" s="35" t="inlineStr">
        <is>
          <t>0011</t>
        </is>
      </c>
      <c r="C19" s="35" t="inlineStr">
        <is>
          <t>0011</t>
        </is>
      </c>
      <c r="D19" s="35" t="inlineStr">
        <is>
          <t>Pen 4</t>
        </is>
      </c>
      <c r="E19" s="35" t="inlineStr">
        <is>
          <t>E</t>
        </is>
      </c>
      <c r="F19" s="35" t="inlineStr">
        <is>
          <t>DOB missing; Sire/Dam missing</t>
        </is>
      </c>
    </row>
    <row r="20">
      <c r="A20" s="35" t="inlineStr">
        <is>
          <t>GIGI</t>
        </is>
      </c>
      <c r="B20" s="35" t="inlineStr">
        <is>
          <t>Gigi</t>
        </is>
      </c>
      <c r="C20" s="35" t="n"/>
      <c r="D20" s="35" t="inlineStr">
        <is>
          <t>Pen 4</t>
        </is>
      </c>
      <c r="E20" s="35" t="inlineStr">
        <is>
          <t>E</t>
        </is>
      </c>
      <c r="F20" s="35" t="inlineStr">
        <is>
          <t>Tag/ID missing; DOB missing; Sire/Dam missing</t>
        </is>
      </c>
    </row>
    <row r="21">
      <c r="A21" s="35" t="inlineStr">
        <is>
          <t>FMS_DAUGHTER</t>
        </is>
      </c>
      <c r="B21" s="35" t="inlineStr">
        <is>
          <t>Fms daughter</t>
        </is>
      </c>
      <c r="C21" s="35" t="n"/>
      <c r="D21" s="35" t="inlineStr">
        <is>
          <t>Pen 4</t>
        </is>
      </c>
      <c r="E21" s="35" t="inlineStr">
        <is>
          <t>E</t>
        </is>
      </c>
      <c r="F21" s="35" t="inlineStr">
        <is>
          <t>Tag/ID missing; DOB missing; Sire/Dam missing</t>
        </is>
      </c>
    </row>
    <row r="22">
      <c r="A22" s="35" t="inlineStr">
        <is>
          <t>SERENDIPITY</t>
        </is>
      </c>
      <c r="B22" s="35" t="inlineStr">
        <is>
          <t>Serendipity</t>
        </is>
      </c>
      <c r="C22" s="35" t="inlineStr">
        <is>
          <t>30</t>
        </is>
      </c>
      <c r="D22" s="35" t="inlineStr">
        <is>
          <t>Pen 4</t>
        </is>
      </c>
      <c r="E22" s="35" t="inlineStr">
        <is>
          <t>E</t>
        </is>
      </c>
      <c r="F22" s="35" t="inlineStr">
        <is>
          <t>DOB missing</t>
        </is>
      </c>
    </row>
    <row r="23">
      <c r="A23" s="35" t="inlineStr">
        <is>
          <t>P4_RAM_LAMB_WHITE_01</t>
        </is>
      </c>
      <c r="B23" s="35" t="inlineStr">
        <is>
          <t>Ram lamb (white)</t>
        </is>
      </c>
      <c r="C23" s="35" t="n"/>
      <c r="D23" s="35" t="inlineStr">
        <is>
          <t>Pen 4</t>
        </is>
      </c>
      <c r="E23" s="35" t="inlineStr">
        <is>
          <t>R</t>
        </is>
      </c>
      <c r="F23" s="35" t="inlineStr">
        <is>
          <t>Tag/ID missing; DOB missing; Sire/Dam missing</t>
        </is>
      </c>
    </row>
    <row r="24">
      <c r="A24" s="35" t="inlineStr">
        <is>
          <t>P4_EWE_LAMB_BLACK_01</t>
        </is>
      </c>
      <c r="B24" s="35" t="inlineStr">
        <is>
          <t>Ewe lamb (black)</t>
        </is>
      </c>
      <c r="C24" s="35" t="n"/>
      <c r="D24" s="35" t="inlineStr">
        <is>
          <t>Pen 4</t>
        </is>
      </c>
      <c r="E24" s="35" t="inlineStr">
        <is>
          <t>E</t>
        </is>
      </c>
      <c r="F24" s="35" t="inlineStr">
        <is>
          <t>Tag/ID missing; DOB missing; Sire/Dam missing</t>
        </is>
      </c>
    </row>
    <row r="25">
      <c r="A25" s="35" t="inlineStr">
        <is>
          <t>TAG_0051</t>
        </is>
      </c>
      <c r="B25" s="35" t="inlineStr">
        <is>
          <t>0051</t>
        </is>
      </c>
      <c r="C25" s="35" t="inlineStr">
        <is>
          <t>0051</t>
        </is>
      </c>
      <c r="D25" s="35" t="inlineStr">
        <is>
          <t>Pen 4</t>
        </is>
      </c>
      <c r="E25" s="35" t="inlineStr">
        <is>
          <t>E</t>
        </is>
      </c>
      <c r="F25" s="35" t="inlineStr">
        <is>
          <t>DOB missing; Sire/Dam missing</t>
        </is>
      </c>
    </row>
    <row r="26">
      <c r="A26" s="35" t="inlineStr">
        <is>
          <t>TAG_0113</t>
        </is>
      </c>
      <c r="B26" s="35" t="inlineStr">
        <is>
          <t>113</t>
        </is>
      </c>
      <c r="C26" s="35" t="inlineStr">
        <is>
          <t>113</t>
        </is>
      </c>
      <c r="D26" s="35" t="inlineStr">
        <is>
          <t>Pen 5</t>
        </is>
      </c>
      <c r="E26" s="35" t="inlineStr">
        <is>
          <t>R</t>
        </is>
      </c>
      <c r="F26" s="35" t="inlineStr">
        <is>
          <t>DOB missing; Sire/Dam missing</t>
        </is>
      </c>
    </row>
    <row r="27">
      <c r="A27" s="35" t="inlineStr">
        <is>
          <t>TAG_0002</t>
        </is>
      </c>
      <c r="B27" s="35" t="inlineStr">
        <is>
          <t>02</t>
        </is>
      </c>
      <c r="C27" s="35" t="inlineStr">
        <is>
          <t>02</t>
        </is>
      </c>
      <c r="D27" s="35" t="inlineStr">
        <is>
          <t>Pen 5</t>
        </is>
      </c>
      <c r="E27" s="35" t="inlineStr">
        <is>
          <t>E</t>
        </is>
      </c>
      <c r="F27" s="35" t="inlineStr">
        <is>
          <t>DOB missing; Sire/Dam missing</t>
        </is>
      </c>
    </row>
    <row r="28">
      <c r="A28" s="35" t="inlineStr">
        <is>
          <t>TAG_0031</t>
        </is>
      </c>
      <c r="B28" s="35" t="inlineStr">
        <is>
          <t>31</t>
        </is>
      </c>
      <c r="C28" s="35" t="inlineStr">
        <is>
          <t>31</t>
        </is>
      </c>
      <c r="D28" s="35" t="inlineStr">
        <is>
          <t>Pen 5</t>
        </is>
      </c>
      <c r="E28" s="35" t="inlineStr">
        <is>
          <t>E</t>
        </is>
      </c>
      <c r="F28" s="35" t="inlineStr">
        <is>
          <t>DOB missing; Sire/Dam missing</t>
        </is>
      </c>
    </row>
    <row r="29">
      <c r="A29" s="35" t="inlineStr">
        <is>
          <t>MC08</t>
        </is>
      </c>
      <c r="B29" s="35" t="inlineStr">
        <is>
          <t>Mc08</t>
        </is>
      </c>
      <c r="C29" s="35" t="inlineStr">
        <is>
          <t>Mc08</t>
        </is>
      </c>
      <c r="D29" s="35" t="inlineStr">
        <is>
          <t>Pen 6</t>
        </is>
      </c>
      <c r="E29" s="35" t="inlineStr">
        <is>
          <t>R</t>
        </is>
      </c>
      <c r="F29" s="35" t="inlineStr">
        <is>
          <t>DOB missing; Sire/Dam missing</t>
        </is>
      </c>
    </row>
    <row r="30">
      <c r="A30" s="35" t="inlineStr">
        <is>
          <t>ELSIE</t>
        </is>
      </c>
      <c r="B30" s="35" t="inlineStr">
        <is>
          <t>Elsie</t>
        </is>
      </c>
      <c r="C30" s="35" t="n"/>
      <c r="D30" s="35" t="inlineStr">
        <is>
          <t>Pen 6</t>
        </is>
      </c>
      <c r="E30" s="35" t="inlineStr">
        <is>
          <t>E</t>
        </is>
      </c>
      <c r="F30" s="35" t="inlineStr">
        <is>
          <t>Tag/ID missing</t>
        </is>
      </c>
    </row>
    <row r="31">
      <c r="A31" s="35" t="inlineStr">
        <is>
          <t>TAG_2139</t>
        </is>
      </c>
      <c r="B31" s="35" t="inlineStr">
        <is>
          <t>2139</t>
        </is>
      </c>
      <c r="C31" s="35" t="inlineStr">
        <is>
          <t>2139</t>
        </is>
      </c>
      <c r="D31" s="35" t="inlineStr">
        <is>
          <t>Pen 6</t>
        </is>
      </c>
      <c r="E31" s="35" t="inlineStr">
        <is>
          <t>E</t>
        </is>
      </c>
      <c r="F31" s="35" t="inlineStr">
        <is>
          <t>DOB missing; Sire/Dam missing</t>
        </is>
      </c>
    </row>
    <row r="32">
      <c r="A32" s="35" t="inlineStr">
        <is>
          <t>TAG_0056</t>
        </is>
      </c>
      <c r="B32" s="35" t="inlineStr">
        <is>
          <t>0056</t>
        </is>
      </c>
      <c r="C32" s="35" t="inlineStr">
        <is>
          <t>0056</t>
        </is>
      </c>
      <c r="D32" s="35" t="inlineStr">
        <is>
          <t>Pen 6</t>
        </is>
      </c>
      <c r="E32" s="35" t="inlineStr">
        <is>
          <t>E</t>
        </is>
      </c>
      <c r="F32" s="35" t="inlineStr">
        <is>
          <t>DOB missing; Sire/Dam missing</t>
        </is>
      </c>
    </row>
    <row r="33">
      <c r="A33" s="35" t="inlineStr">
        <is>
          <t>TAG_0055</t>
        </is>
      </c>
      <c r="B33" s="35" t="inlineStr">
        <is>
          <t>0055</t>
        </is>
      </c>
      <c r="C33" s="35" t="inlineStr">
        <is>
          <t>0055</t>
        </is>
      </c>
      <c r="D33" s="35" t="inlineStr">
        <is>
          <t>Pen 6</t>
        </is>
      </c>
      <c r="E33" s="35" t="inlineStr">
        <is>
          <t>E</t>
        </is>
      </c>
      <c r="F33" s="35" t="inlineStr">
        <is>
          <t>DOB missing; Sire/Dam missing</t>
        </is>
      </c>
    </row>
    <row r="34">
      <c r="A34" s="35" t="inlineStr">
        <is>
          <t>OAV_2222</t>
        </is>
      </c>
      <c r="B34" s="35" t="inlineStr">
        <is>
          <t>2222</t>
        </is>
      </c>
      <c r="C34" s="35" t="inlineStr">
        <is>
          <t>2222</t>
        </is>
      </c>
      <c r="D34" s="35" t="inlineStr">
        <is>
          <t>Pen 6</t>
        </is>
      </c>
      <c r="E34" s="35" t="n"/>
      <c r="F34" s="35" t="inlineStr">
        <is>
          <t>Sex missing; DOB missing; Sire/Dam missing</t>
        </is>
      </c>
    </row>
    <row r="35">
      <c r="A35" s="35" t="inlineStr">
        <is>
          <t>TAG_0009</t>
        </is>
      </c>
      <c r="B35" s="35" t="inlineStr">
        <is>
          <t>09</t>
        </is>
      </c>
      <c r="C35" s="35" t="inlineStr">
        <is>
          <t>09</t>
        </is>
      </c>
      <c r="D35" s="35" t="inlineStr">
        <is>
          <t>Goose Pen</t>
        </is>
      </c>
      <c r="E35" s="35" t="inlineStr">
        <is>
          <t>R</t>
        </is>
      </c>
      <c r="F35" s="35" t="inlineStr">
        <is>
          <t>DOB missing</t>
        </is>
      </c>
    </row>
    <row r="36">
      <c r="A36" s="35" t="inlineStr">
        <is>
          <t>TAG_0006</t>
        </is>
      </c>
      <c r="B36" s="35" t="inlineStr">
        <is>
          <t>06</t>
        </is>
      </c>
      <c r="C36" s="35" t="inlineStr">
        <is>
          <t>06</t>
        </is>
      </c>
      <c r="D36" s="35" t="inlineStr">
        <is>
          <t>Goose Pen</t>
        </is>
      </c>
      <c r="E36" s="35" t="inlineStr">
        <is>
          <t>R</t>
        </is>
      </c>
      <c r="F36" s="35" t="inlineStr">
        <is>
          <t>DOB missing; Sire/Dam missing</t>
        </is>
      </c>
    </row>
    <row r="37">
      <c r="A37" s="35" t="inlineStr">
        <is>
          <t>GP_RAM_LAMB_FAWN_01</t>
        </is>
      </c>
      <c r="B37" s="35" t="inlineStr">
        <is>
          <t>Ram lamb (fawn to light tan)</t>
        </is>
      </c>
      <c r="C37" s="35" t="n"/>
      <c r="D37" s="35" t="inlineStr">
        <is>
          <t>Goose Pen</t>
        </is>
      </c>
      <c r="E37" s="35" t="inlineStr">
        <is>
          <t>R</t>
        </is>
      </c>
      <c r="F37" s="35" t="inlineStr">
        <is>
          <t>Tag/ID missing; DOB missing; Sire/Dam missing</t>
        </is>
      </c>
    </row>
    <row r="38">
      <c r="A38" s="35" t="inlineStr">
        <is>
          <t>TAG_0050</t>
        </is>
      </c>
      <c r="B38" s="35" t="inlineStr">
        <is>
          <t>50</t>
        </is>
      </c>
      <c r="C38" s="35" t="inlineStr">
        <is>
          <t>50</t>
        </is>
      </c>
      <c r="D38" s="35" t="inlineStr">
        <is>
          <t>Goose Pen</t>
        </is>
      </c>
      <c r="E38" s="35" t="inlineStr">
        <is>
          <t>E</t>
        </is>
      </c>
      <c r="F38" s="35" t="inlineStr">
        <is>
          <t>DOB missing; Sire/Dam missing</t>
        </is>
      </c>
    </row>
    <row r="39">
      <c r="A39" s="35" t="inlineStr">
        <is>
          <t>TAG_0049</t>
        </is>
      </c>
      <c r="B39" s="35" t="inlineStr">
        <is>
          <t>49</t>
        </is>
      </c>
      <c r="C39" s="35" t="inlineStr">
        <is>
          <t>49</t>
        </is>
      </c>
      <c r="D39" s="35" t="inlineStr">
        <is>
          <t>Goose Pen</t>
        </is>
      </c>
      <c r="E39" s="35" t="inlineStr">
        <is>
          <t>E</t>
        </is>
      </c>
      <c r="F39" s="35" t="inlineStr">
        <is>
          <t>DOB missing; Sire/Dam missing</t>
        </is>
      </c>
    </row>
    <row r="40">
      <c r="A40" s="35" t="inlineStr">
        <is>
          <t>BUCK_2433</t>
        </is>
      </c>
      <c r="B40" s="35" t="inlineStr">
        <is>
          <t>Buck</t>
        </is>
      </c>
      <c r="C40" s="35" t="inlineStr">
        <is>
          <t>2433</t>
        </is>
      </c>
      <c r="D40" s="35" t="inlineStr">
        <is>
          <t>Tree Fort</t>
        </is>
      </c>
      <c r="E40" s="35" t="inlineStr">
        <is>
          <t>R</t>
        </is>
      </c>
      <c r="F40" s="35" t="inlineStr">
        <is>
          <t>DOB missing; Sire/Dam missing</t>
        </is>
      </c>
    </row>
    <row r="41">
      <c r="A41" s="35" t="inlineStr">
        <is>
          <t>TAG_0035</t>
        </is>
      </c>
      <c r="B41" s="35" t="inlineStr">
        <is>
          <t>0035</t>
        </is>
      </c>
      <c r="C41" s="35" t="inlineStr">
        <is>
          <t>0035</t>
        </is>
      </c>
      <c r="D41" s="35" t="inlineStr">
        <is>
          <t>Tree Fort</t>
        </is>
      </c>
      <c r="E41" s="35" t="inlineStr">
        <is>
          <t>E</t>
        </is>
      </c>
      <c r="F41" s="35" t="inlineStr">
        <is>
          <t>DOB missing; Sire/Dam missing</t>
        </is>
      </c>
    </row>
    <row r="42">
      <c r="A42" s="35" t="inlineStr">
        <is>
          <t>CHARLIES_EWE_3</t>
        </is>
      </c>
      <c r="B42" s="35" t="inlineStr">
        <is>
          <t>Charlie's ewe 3</t>
        </is>
      </c>
      <c r="C42" s="35" t="n"/>
      <c r="D42" s="35" t="inlineStr">
        <is>
          <t>Tree Fort</t>
        </is>
      </c>
      <c r="E42" s="35" t="inlineStr">
        <is>
          <t>E</t>
        </is>
      </c>
      <c r="F42" s="35" t="inlineStr">
        <is>
          <t>Tag/ID missing; DOB missing; Sire/Dam missing</t>
        </is>
      </c>
    </row>
    <row r="43">
      <c r="A43" s="35" t="inlineStr">
        <is>
          <t>TAG_0035B</t>
        </is>
      </c>
      <c r="B43" s="35" t="inlineStr">
        <is>
          <t>35</t>
        </is>
      </c>
      <c r="C43" s="35" t="inlineStr">
        <is>
          <t>35</t>
        </is>
      </c>
      <c r="D43" s="35" t="inlineStr">
        <is>
          <t>Tree Fort</t>
        </is>
      </c>
      <c r="E43" s="35" t="inlineStr">
        <is>
          <t>E</t>
        </is>
      </c>
      <c r="F43" s="35" t="inlineStr">
        <is>
          <t>DOB missing; Sire/Dam missing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Rule</t>
        </is>
      </c>
      <c r="B1" s="4" t="inlineStr">
        <is>
          <t>Value</t>
        </is>
      </c>
    </row>
    <row r="2">
      <c r="A2" s="35" t="inlineStr">
        <is>
          <t>As of</t>
        </is>
      </c>
      <c r="B2" s="35" t="inlineStr">
        <is>
          <t>2026-01-06 (living roster override)</t>
        </is>
      </c>
    </row>
    <row r="3">
      <c r="A3" s="35" t="inlineStr">
        <is>
          <t>Primary goals</t>
        </is>
      </c>
      <c r="B3" s="35" t="inlineStr">
        <is>
          <t>Hardiness (parasite resistance) + Meat + Hair</t>
        </is>
      </c>
    </row>
    <row r="4">
      <c r="A4" s="35" t="inlineStr">
        <is>
          <t>Ram score weights</t>
        </is>
      </c>
      <c r="B4" s="35" t="inlineStr">
        <is>
          <t>Hardiness 0.45, Meat 0.35, Hair 0.20</t>
        </is>
      </c>
    </row>
    <row r="5">
      <c r="A5" s="35" t="inlineStr">
        <is>
          <t>Hardiness proxy</t>
        </is>
      </c>
      <c r="B5" s="35" t="inlineStr">
        <is>
          <t>Lower FEC avg + lower FAMACHA severity</t>
        </is>
      </c>
    </row>
    <row r="6">
      <c r="A6" s="35" t="inlineStr">
        <is>
          <t>Meat proxy</t>
        </is>
      </c>
      <c r="B6" s="35" t="inlineStr">
        <is>
          <t>Higher weight + higher ADG</t>
        </is>
      </c>
    </row>
    <row r="7">
      <c r="A7" s="35" t="inlineStr">
        <is>
          <t>Hair proxy</t>
        </is>
      </c>
      <c r="B7" s="35" t="inlineStr">
        <is>
          <t>Hair% derived from BREED_MIX and BREED_SUPERSET hair flags</t>
        </is>
      </c>
    </row>
    <row r="8">
      <c r="A8" s="35" t="inlineStr">
        <is>
          <t>Inbreeding blocks</t>
        </is>
      </c>
      <c r="B8" s="35" t="inlineStr">
        <is>
          <t>Parent-offspring when pedigree links exist</t>
        </is>
      </c>
    </row>
    <row r="9">
      <c r="A9" s="35" t="inlineStr">
        <is>
          <t>Inbreeding avoid</t>
        </is>
      </c>
      <c r="B9" s="35" t="inlineStr">
        <is>
          <t>Shared sire/dam; shared ancestors within 2 generations (if known)</t>
        </is>
      </c>
    </row>
    <row r="10">
      <c r="A10" s="35" t="inlineStr">
        <is>
          <t>Penalty scaling</t>
        </is>
      </c>
      <c r="B10" s="35" t="inlineStr">
        <is>
          <t>Score = BaseScore - 0.12 * Penalty</t>
        </is>
      </c>
    </row>
    <row r="11">
      <c r="A11" s="35" t="inlineStr">
        <is>
          <t>Missing data handling</t>
        </is>
      </c>
      <c r="B11" s="35" t="inlineStr">
        <is>
          <t>Missing ram metric =&gt; neutral 0.5 and flagged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2026-01-07T02:58:49Z</dcterms:created>
  <dcterms:modified xmlns:dcterms="http://purl.org/dc/terms/" xmlns:xsi="http://www.w3.org/2001/XMLSchema-instance" xsi:type="dcterms:W3CDTF">2026-01-07T14:42:15Z</dcterms:modified>
</cp:coreProperties>
</file>